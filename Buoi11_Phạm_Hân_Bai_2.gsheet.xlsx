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38" documentId="11_97AA39A1DEC281ECA87DCF66B9F238A645E7C7CA" xr6:coauthVersionLast="47" xr6:coauthVersionMax="47" xr10:uidLastSave="{E16FC124-B439-4DF3-ABFE-DC8C43B1FD80}"/>
  <bookViews>
    <workbookView xWindow="0" yWindow="0" windowWidth="0" windowHeight="0" xr2:uid="{00000000-000D-0000-FFFF-FFFF00000000}"/>
  </bookViews>
  <sheets>
    <sheet name="Tong_hop" sheetId="1" r:id="rId1"/>
    <sheet name="1.SV Nganh CNTT" sheetId="2" r:id="rId2"/>
    <sheet name="2.SV lop_DI18T9A1 mon NT_CNTT" sheetId="3" r:id="rId3"/>
    <sheet name="3.SV_Diem_D_F" sheetId="4" r:id="rId4"/>
    <sheet name="4.SV dang ky hoc hon 1 m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A1" i="4"/>
  <c r="A1" i="3"/>
  <c r="A1" i="2"/>
  <c r="E3" i="5"/>
  <c r="D3" i="5"/>
  <c r="C3" i="5"/>
  <c r="B3" i="5"/>
  <c r="A3" i="5"/>
  <c r="E2" i="5"/>
  <c r="D2" i="5"/>
  <c r="C2" i="5"/>
  <c r="B2" i="5"/>
  <c r="A2" i="5"/>
  <c r="E1" i="5"/>
  <c r="D1" i="5"/>
  <c r="C1" i="5"/>
  <c r="B1" i="5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E1" i="3"/>
  <c r="D1" i="3"/>
  <c r="C1" i="3"/>
  <c r="B1" i="3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</calcChain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<sst xmlns="http://schemas.openxmlformats.org/spreadsheetml/2006/main" count="154" uniqueCount="81">
  <si>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</si>
  <si>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</si>
  <si>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</si>
  <si>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</si>
  <si>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
Nganh</t>
  </si>
  <si>
    <t>Ten Nganh</t>
  </si>
  <si>
    <t>MaMH</t>
  </si>
  <si>
    <t>TenMH</t>
  </si>
  <si>
    <t>Tin 
Chi</t>
  </si>
  <si>
    <t>Diem</t>
  </si>
  <si>
    <t>S180005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</si>
  <si>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</si>
  <si>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</si>
  <si>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</si>
  <si>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</si>
  <si>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</si>
  <si>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</si>
  <si>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</si>
  <si>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</si>
  <si>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</si>
  <si>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</si>
  <si>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</si>
  <si>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</si>
  <si>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</si>
  <si>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</si>
  <si>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</si>
  <si>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</si>
  <si>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</si>
  <si>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</si>
  <si>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</si>
  <si>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</si>
  <si>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</si>
  <si>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</si>
  <si>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</si>
  <si>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</si>
  <si>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</si>
  <si>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</si>
  <si>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</si>
  <si>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</si>
  <si>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</si>
  <si>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</si>
  <si>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</si>
  <si>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</si>
  <si>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</si>
  <si>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</si>
  <si>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</si>
  <si>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</si>
  <si>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</si>
  <si>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</si>
  <si>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</si>
  <si>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</si>
  <si>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</si>
  <si>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</si>
  <si>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</si>
  <si>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</si>
  <si>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</si>
  <si>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</si>
  <si>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</si>
  <si>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</si>
  <si>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</si>
  <si>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</si>
  <si>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</si>
  <si>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</si>
  <si>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</si>
  <si>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</si>
  <si>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</si>
  <si>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</si>
  <si>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</si>
  <si>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</si>
  <si>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</si>
  <si>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</si>
  <si>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</si>
  <si>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</si>
  <si>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</si>
  <si>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</si>
  <si>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</si>
  <si>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</si>
  <si>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</si>
  <si>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</si>
  <si>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</si>
  <si>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 xml:space="preserve">Hau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</si>
</sst>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Alignment="1"/>
    <xf numFmtId="0" fontId="1" fillId="6" borderId="1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"/>
  <sheetViews>
    <sheetView tabSelected="1" workbookViewId="0">
      <selection activeCell="B10" sqref="B10"/>
    </sheetView>
  </sheetViews>
  <sheetFormatPr defaultColWidth="12.5703125" defaultRowHeight="15.75" customHeight="1"/>
  <cols>
    <col min="1" max="1" width="12.5703125" customWidth="1"/>
    <col min="2" max="2" width="22.7109375" customWidth="1"/>
    <col min="3" max="3" width="7.42578125" customWidth="1"/>
    <col min="4" max="4" width="10.42578125" customWidth="1"/>
    <col min="5" max="5" width="9.7109375" customWidth="1"/>
    <col min="6" max="6" width="36.42578125" customWidth="1"/>
    <col min="7" max="7" width="9.85546875" customWidth="1"/>
    <col min="8" max="8" width="28.42578125" customWidth="1"/>
    <col min="9" max="9" width="9" customWidth="1"/>
    <col min="10" max="10" width="5.7109375" customWidth="1"/>
  </cols>
  <sheetData>
    <row r="1" spans="1:10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2" t="s">
        <v>12</v>
      </c>
      <c r="D2" s="2" t="s">
        <v>13</v>
      </c>
      <c r="E2" s="2">
        <v>7480201</v>
      </c>
      <c r="F2" s="4" t="s">
        <v>14</v>
      </c>
      <c r="G2" s="2" t="s">
        <v>15</v>
      </c>
      <c r="H2" s="4" t="s">
        <v>16</v>
      </c>
      <c r="I2" s="2">
        <v>2</v>
      </c>
      <c r="J2" s="2" t="s">
        <v>17</v>
      </c>
    </row>
    <row r="3" spans="1:10" ht="12.75">
      <c r="A3" s="2" t="s">
        <v>18</v>
      </c>
      <c r="B3" s="3" t="s">
        <v>19</v>
      </c>
      <c r="C3" s="2" t="s">
        <v>20</v>
      </c>
      <c r="D3" s="2" t="s">
        <v>21</v>
      </c>
      <c r="E3" s="2">
        <v>7480201</v>
      </c>
      <c r="F3" s="4" t="s">
        <v>14</v>
      </c>
      <c r="G3" s="2" t="s">
        <v>22</v>
      </c>
      <c r="H3" s="4" t="s">
        <v>23</v>
      </c>
      <c r="I3" s="2">
        <v>3</v>
      </c>
      <c r="J3" s="2" t="s">
        <v>17</v>
      </c>
    </row>
    <row r="4" spans="1:10" ht="12.75">
      <c r="A4" s="2" t="s">
        <v>24</v>
      </c>
      <c r="B4" s="3" t="s">
        <v>25</v>
      </c>
      <c r="C4" s="2" t="s">
        <v>26</v>
      </c>
      <c r="D4" s="2" t="s">
        <v>27</v>
      </c>
      <c r="E4" s="2">
        <v>7480201</v>
      </c>
      <c r="F4" s="4" t="s">
        <v>14</v>
      </c>
      <c r="G4" s="2" t="s">
        <v>15</v>
      </c>
      <c r="H4" s="4" t="s">
        <v>16</v>
      </c>
      <c r="I4" s="2">
        <v>2</v>
      </c>
      <c r="J4" s="2" t="s">
        <v>28</v>
      </c>
    </row>
    <row r="5" spans="1:10" ht="12.75">
      <c r="A5" s="2" t="s">
        <v>29</v>
      </c>
      <c r="B5" s="3" t="s">
        <v>30</v>
      </c>
      <c r="C5" s="2" t="s">
        <v>31</v>
      </c>
      <c r="D5" s="2" t="s">
        <v>27</v>
      </c>
      <c r="E5" s="2">
        <v>7480201</v>
      </c>
      <c r="F5" s="4" t="s">
        <v>14</v>
      </c>
      <c r="G5" s="2" t="s">
        <v>15</v>
      </c>
      <c r="H5" s="4" t="s">
        <v>16</v>
      </c>
      <c r="I5" s="2">
        <v>2</v>
      </c>
      <c r="J5" s="2" t="s">
        <v>32</v>
      </c>
    </row>
    <row r="6" spans="1:10" ht="12.75">
      <c r="A6" s="2" t="s">
        <v>29</v>
      </c>
      <c r="B6" s="3" t="s">
        <v>30</v>
      </c>
      <c r="C6" s="2" t="s">
        <v>31</v>
      </c>
      <c r="D6" s="2" t="s">
        <v>27</v>
      </c>
      <c r="E6" s="2">
        <v>7480201</v>
      </c>
      <c r="F6" s="4" t="s">
        <v>14</v>
      </c>
      <c r="G6" s="2" t="s">
        <v>22</v>
      </c>
      <c r="H6" s="4" t="s">
        <v>23</v>
      </c>
      <c r="I6" s="2">
        <v>3</v>
      </c>
      <c r="J6" s="2" t="s">
        <v>33</v>
      </c>
    </row>
    <row r="7" spans="1:10" ht="12.75">
      <c r="A7" s="2" t="s">
        <v>34</v>
      </c>
      <c r="B7" s="3" t="s">
        <v>35</v>
      </c>
      <c r="C7" s="2" t="s">
        <v>36</v>
      </c>
      <c r="D7" s="2" t="s">
        <v>37</v>
      </c>
      <c r="E7" s="2">
        <v>7480201</v>
      </c>
      <c r="F7" s="4" t="s">
        <v>14</v>
      </c>
      <c r="G7" s="2" t="s">
        <v>15</v>
      </c>
      <c r="H7" s="4" t="s">
        <v>16</v>
      </c>
      <c r="I7" s="2">
        <v>2</v>
      </c>
      <c r="J7" s="2" t="s">
        <v>17</v>
      </c>
    </row>
    <row r="8" spans="1:10" ht="24">
      <c r="A8" s="2" t="s">
        <v>38</v>
      </c>
      <c r="B8" s="3" t="s">
        <v>39</v>
      </c>
      <c r="C8" s="2" t="s">
        <v>40</v>
      </c>
      <c r="D8" s="2" t="s">
        <v>21</v>
      </c>
      <c r="E8" s="2">
        <v>7480201</v>
      </c>
      <c r="F8" s="4" t="s">
        <v>14</v>
      </c>
      <c r="G8" s="2" t="s">
        <v>41</v>
      </c>
      <c r="H8" s="4" t="s">
        <v>42</v>
      </c>
      <c r="I8" s="2">
        <v>4</v>
      </c>
      <c r="J8" s="2" t="s">
        <v>17</v>
      </c>
    </row>
    <row r="9" spans="1:10" ht="12.75">
      <c r="A9" s="2" t="s">
        <v>43</v>
      </c>
      <c r="B9" s="3" t="s">
        <v>44</v>
      </c>
      <c r="C9" s="2" t="s">
        <v>45</v>
      </c>
      <c r="D9" s="2" t="s">
        <v>21</v>
      </c>
      <c r="E9" s="2">
        <v>7480201</v>
      </c>
      <c r="F9" s="4" t="s">
        <v>14</v>
      </c>
      <c r="G9" s="2" t="s">
        <v>22</v>
      </c>
      <c r="H9" s="4" t="s">
        <v>23</v>
      </c>
      <c r="I9" s="2">
        <v>3</v>
      </c>
      <c r="J9" s="2" t="s">
        <v>33</v>
      </c>
    </row>
    <row r="10" spans="1:10" ht="12.75">
      <c r="A10" s="2" t="s">
        <v>46</v>
      </c>
      <c r="B10" s="3" t="s">
        <v>47</v>
      </c>
      <c r="C10" s="2" t="s">
        <v>48</v>
      </c>
      <c r="D10" s="2" t="s">
        <v>49</v>
      </c>
      <c r="E10" s="2">
        <v>7480201</v>
      </c>
      <c r="F10" s="4" t="s">
        <v>14</v>
      </c>
      <c r="G10" s="2" t="s">
        <v>22</v>
      </c>
      <c r="H10" s="4" t="s">
        <v>23</v>
      </c>
      <c r="I10" s="2">
        <v>3</v>
      </c>
      <c r="J10" s="2" t="s">
        <v>28</v>
      </c>
    </row>
    <row r="11" spans="1:10" ht="12.75">
      <c r="A11" s="2" t="s">
        <v>50</v>
      </c>
      <c r="B11" s="3" t="s">
        <v>51</v>
      </c>
      <c r="C11" s="2" t="s">
        <v>45</v>
      </c>
      <c r="D11" s="2" t="s">
        <v>21</v>
      </c>
      <c r="E11" s="2">
        <v>7480201</v>
      </c>
      <c r="F11" s="4" t="s">
        <v>14</v>
      </c>
      <c r="G11" s="2" t="s">
        <v>15</v>
      </c>
      <c r="H11" s="4" t="s">
        <v>16</v>
      </c>
      <c r="I11" s="2">
        <v>2</v>
      </c>
      <c r="J11" s="2" t="s">
        <v>52</v>
      </c>
    </row>
    <row r="12" spans="1:10" ht="12.75">
      <c r="A12" s="2" t="s">
        <v>53</v>
      </c>
      <c r="B12" s="3" t="s">
        <v>54</v>
      </c>
      <c r="C12" s="2" t="s">
        <v>55</v>
      </c>
      <c r="D12" s="2" t="s">
        <v>56</v>
      </c>
      <c r="E12" s="2">
        <v>7480101</v>
      </c>
      <c r="F12" s="4" t="s">
        <v>57</v>
      </c>
      <c r="G12" s="2" t="s">
        <v>22</v>
      </c>
      <c r="H12" s="4" t="s">
        <v>23</v>
      </c>
      <c r="I12" s="2">
        <v>3</v>
      </c>
      <c r="J12" s="2" t="s">
        <v>58</v>
      </c>
    </row>
    <row r="13" spans="1:10" ht="12.75">
      <c r="A13" s="2" t="s">
        <v>59</v>
      </c>
      <c r="B13" s="3" t="s">
        <v>60</v>
      </c>
      <c r="C13" s="2" t="s">
        <v>61</v>
      </c>
      <c r="D13" s="2" t="s">
        <v>62</v>
      </c>
      <c r="E13" s="2">
        <v>7480101</v>
      </c>
      <c r="F13" s="4" t="s">
        <v>57</v>
      </c>
      <c r="G13" s="2" t="s">
        <v>15</v>
      </c>
      <c r="H13" s="4" t="s">
        <v>16</v>
      </c>
      <c r="I13" s="2">
        <v>2</v>
      </c>
      <c r="J13" s="2" t="s">
        <v>33</v>
      </c>
    </row>
    <row r="14" spans="1:10" ht="12.75">
      <c r="A14" s="2" t="s">
        <v>63</v>
      </c>
      <c r="B14" s="3" t="s">
        <v>64</v>
      </c>
      <c r="C14" s="2" t="s">
        <v>65</v>
      </c>
      <c r="D14" s="2" t="s">
        <v>66</v>
      </c>
      <c r="E14" s="2">
        <v>7480103</v>
      </c>
      <c r="F14" s="4" t="s">
        <v>67</v>
      </c>
      <c r="G14" s="2" t="s">
        <v>22</v>
      </c>
      <c r="H14" s="4" t="s">
        <v>23</v>
      </c>
      <c r="I14" s="2">
        <v>3</v>
      </c>
      <c r="J14" s="2" t="s">
        <v>58</v>
      </c>
    </row>
    <row r="15" spans="1:10" ht="24">
      <c r="A15" s="2" t="s">
        <v>68</v>
      </c>
      <c r="B15" s="3" t="s">
        <v>69</v>
      </c>
      <c r="C15" s="2" t="s">
        <v>70</v>
      </c>
      <c r="D15" s="2" t="s">
        <v>71</v>
      </c>
      <c r="E15" s="2">
        <v>7480102</v>
      </c>
      <c r="F15" s="4" t="s">
        <v>72</v>
      </c>
      <c r="G15" s="2" t="s">
        <v>41</v>
      </c>
      <c r="H15" s="4" t="s">
        <v>42</v>
      </c>
      <c r="I15" s="2">
        <v>4</v>
      </c>
      <c r="J15" s="2" t="s">
        <v>33</v>
      </c>
    </row>
    <row r="16" spans="1:10" ht="24">
      <c r="A16" s="2" t="s">
        <v>73</v>
      </c>
      <c r="B16" s="3" t="s">
        <v>74</v>
      </c>
      <c r="C16" s="2" t="s">
        <v>45</v>
      </c>
      <c r="D16" s="2" t="s">
        <v>71</v>
      </c>
      <c r="E16" s="2">
        <v>7480102</v>
      </c>
      <c r="F16" s="4" t="s">
        <v>72</v>
      </c>
      <c r="G16" s="2" t="s">
        <v>22</v>
      </c>
      <c r="H16" s="4" t="s">
        <v>23</v>
      </c>
      <c r="I16" s="2">
        <v>3</v>
      </c>
      <c r="J16" s="2" t="s">
        <v>28</v>
      </c>
    </row>
    <row r="17" spans="1:10" ht="24">
      <c r="A17" s="2" t="s">
        <v>75</v>
      </c>
      <c r="B17" s="3" t="s">
        <v>76</v>
      </c>
      <c r="C17" s="2" t="s">
        <v>70</v>
      </c>
      <c r="D17" s="2" t="s">
        <v>71</v>
      </c>
      <c r="E17" s="2">
        <v>7480102</v>
      </c>
      <c r="F17" s="4" t="s">
        <v>72</v>
      </c>
      <c r="G17" s="2" t="s">
        <v>41</v>
      </c>
      <c r="H17" s="4" t="s">
        <v>42</v>
      </c>
      <c r="I17" s="2">
        <v>4</v>
      </c>
      <c r="J17" s="2" t="s">
        <v>77</v>
      </c>
    </row>
    <row r="18" spans="1:10" ht="24">
      <c r="A18" s="2" t="s">
        <v>78</v>
      </c>
      <c r="B18" s="3" t="s">
        <v>79</v>
      </c>
      <c r="C18" s="2" t="s">
        <v>80</v>
      </c>
      <c r="D18" s="2" t="s">
        <v>71</v>
      </c>
      <c r="E18" s="2">
        <v>7480102</v>
      </c>
      <c r="F18" s="4" t="s">
        <v>72</v>
      </c>
      <c r="G18" s="2" t="s">
        <v>41</v>
      </c>
      <c r="H18" s="4" t="s">
        <v>42</v>
      </c>
      <c r="I18" s="2">
        <v>4</v>
      </c>
      <c r="J18" s="2" t="s">
        <v>33</v>
      </c>
    </row>
    <row r="19" spans="1:10" ht="24">
      <c r="A19" s="2" t="s">
        <v>73</v>
      </c>
      <c r="B19" s="3" t="s">
        <v>74</v>
      </c>
      <c r="C19" s="2" t="s">
        <v>45</v>
      </c>
      <c r="D19" s="2" t="s">
        <v>71</v>
      </c>
      <c r="E19" s="2">
        <v>7480102</v>
      </c>
      <c r="F19" s="4" t="s">
        <v>72</v>
      </c>
      <c r="G19" s="2" t="s">
        <v>41</v>
      </c>
      <c r="H19" s="4" t="s">
        <v>42</v>
      </c>
      <c r="I19" s="2">
        <v>4</v>
      </c>
      <c r="J19" s="2" t="s">
        <v>28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"/>
  <sheetViews>
    <sheetView workbookViewId="0">
      <selection activeCell="B2" sqref="B2"/>
    </sheetView>
  </sheetViews>
  <sheetFormatPr defaultColWidth="12.5703125" defaultRowHeight="15.75" customHeight="1"/>
  <cols>
    <col min="2" max="2" width="12.42578125" customWidth="1"/>
    <col min="4" max="4" width="20.28515625" customWidth="1"/>
  </cols>
  <sheetData>
    <row r="1" spans="1:4">
      <c r="A1" s="5" t="str">
        <f ca="1">IFERROR(__xludf.UNSUPPORTED(QUERY(Tong_hop!A:J, "select A, B, C, F where F='Information Technology'", 1)),"MSSV")</f>
        <v>MSSV</v>
      </c>
      <c r="B1" s="5" t="str">
        <f ca="1">IFERROR(__xludf.UNSUPPORTED("""COMPUTED_VALUE"""),"Ho")</f>
        <v>Ho</v>
      </c>
      <c r="C1" s="5" t="str">
        <f ca="1">IFERROR(__xludf.UNSUPPORTED("""COMPUTED_VALUE"""),"Ten")</f>
        <v>Ten</v>
      </c>
      <c r="D1" s="5" t="str">
        <f ca="1">IFERROR(__xludf.UNSUPPORTED("""COMPUTED_VALUE"""),"Ten Nganh")</f>
        <v>Ten Nganh</v>
      </c>
    </row>
    <row r="2" spans="1:4">
      <c r="A2" s="6" t="str">
        <f ca="1">IFERROR(__xludf.UNSUPPORTED("""COMPUTED_VALUE"""),"S180005")</f>
        <v>S180005</v>
      </c>
      <c r="B2" s="7" t="str">
        <f ca="1">IFERROR(__xludf.UNSUPPORTED("""COMPUTED_VALUE"""),"Le Duy")</f>
        <v>Le Duy</v>
      </c>
      <c r="C2" s="6" t="str">
        <f ca="1">IFERROR(__xludf.UNSUPPORTED("""COMPUTED_VALUE"""),"Anh")</f>
        <v>Anh</v>
      </c>
      <c r="D2" s="7" t="str">
        <f ca="1">IFERROR(__xludf.UNSUPPORTED("""COMPUTED_VALUE"""),"Information Technology")</f>
        <v>Information Technology</v>
      </c>
    </row>
    <row r="3" spans="1:4">
      <c r="A3" s="6" t="str">
        <f ca="1">IFERROR(__xludf.UNSUPPORTED("""COMPUTED_VALUE"""),"B1706575")</f>
        <v>B1706575</v>
      </c>
      <c r="B3" s="7" t="str">
        <f ca="1">IFERROR(__xludf.UNSUPPORTED("""COMPUTED_VALUE"""),"Pham  Hai")</f>
        <v>Pham  Hai</v>
      </c>
      <c r="C3" s="6" t="str">
        <f ca="1">IFERROR(__xludf.UNSUPPORTED("""COMPUTED_VALUE"""),"Do")</f>
        <v>Do</v>
      </c>
      <c r="D3" s="7" t="str">
        <f ca="1">IFERROR(__xludf.UNSUPPORTED("""COMPUTED_VALUE"""),"Information Technology")</f>
        <v>Information Technology</v>
      </c>
    </row>
    <row r="4" spans="1:4">
      <c r="A4" s="6" t="str">
        <f ca="1">IFERROR(__xludf.UNSUPPORTED("""COMPUTED_VALUE"""),"B1706487")</f>
        <v>B1706487</v>
      </c>
      <c r="B4" s="7" t="str">
        <f ca="1">IFERROR(__xludf.UNSUPPORTED("""COMPUTED_VALUE"""),"Nguyen Tran")</f>
        <v>Nguyen Tran</v>
      </c>
      <c r="C4" s="6" t="str">
        <f ca="1">IFERROR(__xludf.UNSUPPORTED("""COMPUTED_VALUE"""),"Le")</f>
        <v>Le</v>
      </c>
      <c r="D4" s="7" t="str">
        <f ca="1">IFERROR(__xludf.UNSUPPORTED("""COMPUTED_VALUE"""),"Information Technology")</f>
        <v>Information Technology</v>
      </c>
    </row>
    <row r="5" spans="1:4">
      <c r="A5" s="6" t="str">
        <f ca="1">IFERROR(__xludf.UNSUPPORTED("""COMPUTED_VALUE"""),"B2000000")</f>
        <v>B2000000</v>
      </c>
      <c r="B5" s="7" t="str">
        <f ca="1">IFERROR(__xludf.UNSUPPORTED("""COMPUTED_VALUE"""),"Mai Thanh")</f>
        <v>Mai Thanh</v>
      </c>
      <c r="C5" s="6" t="str">
        <f ca="1">IFERROR(__xludf.UNSUPPORTED("""COMPUTED_VALUE"""),"Dat")</f>
        <v>Dat</v>
      </c>
      <c r="D5" s="7" t="str">
        <f ca="1">IFERROR(__xludf.UNSUPPORTED("""COMPUTED_VALUE"""),"Information Technology")</f>
        <v>Information Technology</v>
      </c>
    </row>
    <row r="6" spans="1:4">
      <c r="A6" s="6" t="str">
        <f ca="1">IFERROR(__xludf.UNSUPPORTED("""COMPUTED_VALUE"""),"B2000000")</f>
        <v>B2000000</v>
      </c>
      <c r="B6" s="7" t="str">
        <f ca="1">IFERROR(__xludf.UNSUPPORTED("""COMPUTED_VALUE"""),"Mai Thanh")</f>
        <v>Mai Thanh</v>
      </c>
      <c r="C6" s="6" t="str">
        <f ca="1">IFERROR(__xludf.UNSUPPORTED("""COMPUTED_VALUE"""),"Dat")</f>
        <v>Dat</v>
      </c>
      <c r="D6" s="7" t="str">
        <f ca="1">IFERROR(__xludf.UNSUPPORTED("""COMPUTED_VALUE"""),"Information Technology")</f>
        <v>Information Technology</v>
      </c>
    </row>
    <row r="7" spans="1:4">
      <c r="A7" s="6" t="str">
        <f ca="1">IFERROR(__xludf.UNSUPPORTED("""COMPUTED_VALUE"""),"B1809110")</f>
        <v>B1809110</v>
      </c>
      <c r="B7" s="7" t="str">
        <f ca="1">IFERROR(__xludf.UNSUPPORTED("""COMPUTED_VALUE"""),"Thi")</f>
        <v>Thi</v>
      </c>
      <c r="C7" s="6" t="str">
        <f ca="1">IFERROR(__xludf.UNSUPPORTED("""COMPUTED_VALUE"""),"Dui")</f>
        <v>Dui</v>
      </c>
      <c r="D7" s="7" t="str">
        <f ca="1">IFERROR(__xludf.UNSUPPORTED("""COMPUTED_VALUE"""),"Information Technology")</f>
        <v>Information Technology</v>
      </c>
    </row>
    <row r="8" spans="1:4">
      <c r="A8" s="6" t="str">
        <f ca="1">IFERROR(__xludf.UNSUPPORTED("""COMPUTED_VALUE"""),"B1809222")</f>
        <v>B1809222</v>
      </c>
      <c r="B8" s="7" t="str">
        <f ca="1">IFERROR(__xludf.UNSUPPORTED("""COMPUTED_VALUE"""),"Nguyen")</f>
        <v>Nguyen</v>
      </c>
      <c r="C8" s="6" t="str">
        <f ca="1">IFERROR(__xludf.UNSUPPORTED("""COMPUTED_VALUE"""),"Duy")</f>
        <v>Duy</v>
      </c>
      <c r="D8" s="7" t="str">
        <f ca="1">IFERROR(__xludf.UNSUPPORTED("""COMPUTED_VALUE"""),"Information Technology")</f>
        <v>Information Technology</v>
      </c>
    </row>
    <row r="9" spans="1:4">
      <c r="A9" s="6" t="str">
        <f ca="1">IFERROR(__xludf.UNSUPPORTED("""COMPUTED_VALUE"""),"B1706582")</f>
        <v>B1706582</v>
      </c>
      <c r="B9" s="7" t="str">
        <f ca="1">IFERROR(__xludf.UNSUPPORTED("""COMPUTED_VALUE"""),"Le Trong")</f>
        <v>Le Trong</v>
      </c>
      <c r="C9" s="6" t="str">
        <f ca="1">IFERROR(__xludf.UNSUPPORTED("""COMPUTED_VALUE"""),"Hieu")</f>
        <v>Hieu</v>
      </c>
      <c r="D9" s="7" t="str">
        <f ca="1">IFERROR(__xludf.UNSUPPORTED("""COMPUTED_VALUE"""),"Information Technology")</f>
        <v>Information Technology</v>
      </c>
    </row>
    <row r="10" spans="1:4">
      <c r="A10" s="6" t="str">
        <f ca="1">IFERROR(__xludf.UNSUPPORTED("""COMPUTED_VALUE"""),"B1809497")</f>
        <v>B1809497</v>
      </c>
      <c r="B10" s="7" t="str">
        <f ca="1">IFERROR(__xludf.UNSUPPORTED("""COMPUTED_VALUE"""),"Luong Thi")</f>
        <v>Luong Thi</v>
      </c>
      <c r="C10" s="6" t="str">
        <f ca="1">IFERROR(__xludf.UNSUPPORTED("""COMPUTED_VALUE"""),"Ni")</f>
        <v>Ni</v>
      </c>
      <c r="D10" s="7" t="str">
        <f ca="1">IFERROR(__xludf.UNSUPPORTED("""COMPUTED_VALUE"""),"Information Technology")</f>
        <v>Information Technology</v>
      </c>
    </row>
    <row r="11" spans="1:4">
      <c r="A11" s="6" t="str">
        <f ca="1">IFERROR(__xludf.UNSUPPORTED("""COMPUTED_VALUE"""),"B1809236")</f>
        <v>B1809236</v>
      </c>
      <c r="B11" s="7" t="str">
        <f ca="1">IFERROR(__xludf.UNSUPPORTED("""COMPUTED_VALUE"""),"Nguyen Minh")</f>
        <v>Nguyen Minh</v>
      </c>
      <c r="C11" s="6" t="str">
        <f ca="1">IFERROR(__xludf.UNSUPPORTED("""COMPUTED_VALUE"""),"Hieu")</f>
        <v>Hieu</v>
      </c>
      <c r="D11" s="7" t="str">
        <f ca="1">IFERROR(__xludf.UNSUPPORTED("""COMPUTED_VALUE"""),"Information Technology")</f>
        <v>Information Technology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defaultColWidth="12.5703125" defaultRowHeight="15.75" customHeight="1"/>
  <cols>
    <col min="2" max="2" width="15.140625" customWidth="1"/>
    <col min="5" max="5" width="32.85546875" customWidth="1"/>
  </cols>
  <sheetData>
    <row r="1" spans="1:5">
      <c r="A1" s="8" t="str">
        <f ca="1">IFERROR(__xludf.UNSUPPORTED(QUERY(Tong_hop!A:J, "select A, B, C, D, H where D='DI18T9A1' and H='Fundamentials of Information Technology'", 1)),"MSSV")</f>
        <v>MSSV</v>
      </c>
      <c r="B1" s="8" t="str">
        <f ca="1">IFERROR(__xludf.UNSUPPORTED("""COMPUTED_VALUE"""),"Ho")</f>
        <v>Ho</v>
      </c>
      <c r="C1" s="8" t="str">
        <f ca="1">IFERROR(__xludf.UNSUPPORTED("""COMPUTED_VALUE"""),"Ten")</f>
        <v>Ten</v>
      </c>
      <c r="D1" s="8" t="str">
        <f ca="1">IFERROR(__xludf.UNSUPPORTED("""COMPUTED_VALUE"""),"Ten lop")</f>
        <v>Ten lop</v>
      </c>
      <c r="E1" s="8" t="str">
        <f ca="1">IFERROR(__xludf.UNSUPPORTED("""COMPUTED_VALUE"""),"TenMH")</f>
        <v>TenMH</v>
      </c>
    </row>
    <row r="2" spans="1:5">
      <c r="A2" s="6" t="str">
        <f ca="1">IFERROR(__xludf.UNSUPPORTED("""COMPUTED_VALUE"""),"B1807568")</f>
        <v>B1807568</v>
      </c>
      <c r="B2" s="7" t="str">
        <f ca="1">IFERROR(__xludf.UNSUPPORTED("""COMPUTED_VALUE"""),"Doan Nhat")</f>
        <v>Doan Nhat</v>
      </c>
      <c r="C2" s="6" t="str">
        <f ca="1">IFERROR(__xludf.UNSUPPORTED("""COMPUTED_VALUE"""),"Linh")</f>
        <v>Linh</v>
      </c>
      <c r="D2" s="6" t="str">
        <f ca="1">IFERROR(__xludf.UNSUPPORTED("""COMPUTED_VALUE"""),"DI18T9A1")</f>
        <v>DI18T9A1</v>
      </c>
      <c r="E2" s="7" t="str">
        <f ca="1">IFERROR(__xludf.UNSUPPORTED("""COMPUTED_VALUE"""),"Fundamentials of Information Technology")</f>
        <v>Fundamentials of Information Technology</v>
      </c>
    </row>
    <row r="3" spans="1:5">
      <c r="A3" s="6" t="str">
        <f ca="1">IFERROR(__xludf.UNSUPPORTED("""COMPUTED_VALUE"""),"B1807569")</f>
        <v>B1807569</v>
      </c>
      <c r="B3" s="7" t="str">
        <f ca="1">IFERROR(__xludf.UNSUPPORTED("""COMPUTED_VALUE"""),"Nguyen Van")</f>
        <v>Nguyen Van</v>
      </c>
      <c r="C3" s="6" t="str">
        <f ca="1">IFERROR(__xludf.UNSUPPORTED("""COMPUTED_VALUE"""),"Linh")</f>
        <v>Linh</v>
      </c>
      <c r="D3" s="6" t="str">
        <f ca="1">IFERROR(__xludf.UNSUPPORTED("""COMPUTED_VALUE"""),"DI18T9A1")</f>
        <v>DI18T9A1</v>
      </c>
      <c r="E3" s="7" t="str">
        <f ca="1">IFERROR(__xludf.UNSUPPORTED("""COMPUTED_VALUE"""),"Fundamentials of Information Technology")</f>
        <v>Fundamentials of Information Technology</v>
      </c>
    </row>
    <row r="4" spans="1:5">
      <c r="A4" s="6" t="str">
        <f ca="1">IFERROR(__xludf.UNSUPPORTED("""COMPUTED_VALUE"""),"B1807554")</f>
        <v>B1807554</v>
      </c>
      <c r="B4" s="7" t="str">
        <f ca="1">IFERROR(__xludf.UNSUPPORTED("""COMPUTED_VALUE"""),"Dinh Ho Trung")</f>
        <v>Dinh Ho Trung</v>
      </c>
      <c r="C4" s="6" t="str">
        <f ca="1">IFERROR(__xludf.UNSUPPORTED("""COMPUTED_VALUE"""),"Hau ")</f>
        <v xml:space="preserve">Hau </v>
      </c>
      <c r="D4" s="6" t="str">
        <f ca="1">IFERROR(__xludf.UNSUPPORTED("""COMPUTED_VALUE"""),"DI18T9A1")</f>
        <v>DI18T9A1</v>
      </c>
      <c r="E4" s="7" t="str">
        <f ca="1">IFERROR(__xludf.UNSUPPORTED("""COMPUTED_VALUE"""),"Fundamentials of Information Technology")</f>
        <v>Fundamentials of Information Technology</v>
      </c>
    </row>
    <row r="5" spans="1:5">
      <c r="A5" s="6" t="str">
        <f ca="1">IFERROR(__xludf.UNSUPPORTED("""COMPUTED_VALUE"""),"B1807555")</f>
        <v>B1807555</v>
      </c>
      <c r="B5" s="7" t="str">
        <f ca="1">IFERROR(__xludf.UNSUPPORTED("""COMPUTED_VALUE"""),"Nguyen Trong")</f>
        <v>Nguyen Trong</v>
      </c>
      <c r="C5" s="6" t="str">
        <f ca="1">IFERROR(__xludf.UNSUPPORTED("""COMPUTED_VALUE"""),"Hieu")</f>
        <v>Hieu</v>
      </c>
      <c r="D5" s="6" t="str">
        <f ca="1">IFERROR(__xludf.UNSUPPORTED("""COMPUTED_VALUE"""),"DI18T9A1")</f>
        <v>DI18T9A1</v>
      </c>
      <c r="E5" s="7" t="str">
        <f ca="1">IFERROR(__xludf.UNSUPPORTED("""COMPUTED_VALUE"""),"Fundamentials of Information Technology")</f>
        <v>Fundamentials of Information Technology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2" max="2" width="14.7109375" customWidth="1"/>
    <col min="4" max="4" width="18.7109375" customWidth="1"/>
  </cols>
  <sheetData>
    <row r="1" spans="1:5">
      <c r="A1" s="9" t="str">
        <f ca="1">IFERROR(__xludf.UNSUPPORTED(QUERY(Tong_hop!A:J, "select A,B,C,H,J where H='System Administration' and J='D' or J='F'", 1)),"MSSV")</f>
        <v>MSSV</v>
      </c>
      <c r="B1" s="9" t="str">
        <f ca="1">IFERROR(__xludf.UNSUPPORTED("""COMPUTED_VALUE"""),"Ho")</f>
        <v>Ho</v>
      </c>
      <c r="C1" s="9" t="str">
        <f ca="1">IFERROR(__xludf.UNSUPPORTED("""COMPUTED_VALUE"""),"Ten")</f>
        <v>Ten</v>
      </c>
      <c r="D1" s="9" t="str">
        <f ca="1">IFERROR(__xludf.UNSUPPORTED("""COMPUTED_VALUE"""),"TenMH")</f>
        <v>TenMH</v>
      </c>
      <c r="E1" s="9" t="str">
        <f ca="1">IFERROR(__xludf.UNSUPPORTED("""COMPUTED_VALUE"""),"Diem")</f>
        <v>Diem</v>
      </c>
    </row>
    <row r="2" spans="1:5">
      <c r="A2" s="6" t="str">
        <f ca="1">IFERROR(__xludf.UNSUPPORTED("""COMPUTED_VALUE"""),"B2000000")</f>
        <v>B2000000</v>
      </c>
      <c r="B2" s="7" t="str">
        <f ca="1">IFERROR(__xludf.UNSUPPORTED("""COMPUTED_VALUE"""),"Mai Thanh")</f>
        <v>Mai Thanh</v>
      </c>
      <c r="C2" s="6" t="str">
        <f ca="1">IFERROR(__xludf.UNSUPPORTED("""COMPUTED_VALUE"""),"Dat")</f>
        <v>Dat</v>
      </c>
      <c r="D2" s="7" t="str">
        <f ca="1">IFERROR(__xludf.UNSUPPORTED("""COMPUTED_VALUE"""),"System Administration")</f>
        <v>System Administration</v>
      </c>
      <c r="E2" s="6" t="str">
        <f ca="1">IFERROR(__xludf.UNSUPPORTED("""COMPUTED_VALUE"""),"F")</f>
        <v>F</v>
      </c>
    </row>
    <row r="3" spans="1:5">
      <c r="A3" s="6" t="str">
        <f ca="1">IFERROR(__xludf.UNSUPPORTED("""COMPUTED_VALUE"""),"B1809236")</f>
        <v>B1809236</v>
      </c>
      <c r="B3" s="7" t="str">
        <f ca="1">IFERROR(__xludf.UNSUPPORTED("""COMPUTED_VALUE"""),"Nguyen Minh")</f>
        <v>Nguyen Minh</v>
      </c>
      <c r="C3" s="6" t="str">
        <f ca="1">IFERROR(__xludf.UNSUPPORTED("""COMPUTED_VALUE"""),"Hieu")</f>
        <v>Hieu</v>
      </c>
      <c r="D3" s="7" t="str">
        <f ca="1">IFERROR(__xludf.UNSUPPORTED("""COMPUTED_VALUE"""),"System Administration")</f>
        <v>System Administration</v>
      </c>
      <c r="E3" s="6" t="str">
        <f ca="1">IFERROR(__xludf.UNSUPPORTED("""COMPUTED_VALUE"""),"D")</f>
        <v>D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2" max="2" width="12.140625" customWidth="1"/>
    <col min="4" max="4" width="32.7109375" customWidth="1"/>
  </cols>
  <sheetData>
    <row r="1" spans="1:5">
      <c r="A1" s="10" t="str">
        <f ca="1">IFERROR(__xludf.UNSUPPORTED(QUERY(QUERY(Tong_hop!A:J, "select A,B,C,F, count(B) group by A,B,C,F label count (B) 'So mon hoc'", 1), "select * where Col5 &gt; 1", 1)),"MSSV")</f>
        <v>MSSV</v>
      </c>
      <c r="B1" s="11" t="str">
        <f ca="1">IFERROR(__xludf.UNSUPPORTED("""COMPUTED_VALUE"""),"Ho")</f>
        <v>Ho</v>
      </c>
      <c r="C1" s="11" t="str">
        <f ca="1">IFERROR(__xludf.UNSUPPORTED("""COMPUTED_VALUE"""),"Ten")</f>
        <v>Ten</v>
      </c>
      <c r="D1" s="11" t="str">
        <f ca="1">IFERROR(__xludf.UNSUPPORTED("""COMPUTED_VALUE"""),"Ten Nganh")</f>
        <v>Ten Nganh</v>
      </c>
      <c r="E1" s="11" t="str">
        <f ca="1">IFERROR(__xludf.UNSUPPORTED("""COMPUTED_VALUE"""),"So mon hoc")</f>
        <v>So mon hoc</v>
      </c>
    </row>
    <row r="2" spans="1:5">
      <c r="A2" s="6" t="str">
        <f ca="1">IFERROR(__xludf.UNSUPPORTED("""COMPUTED_VALUE"""),"B1807555")</f>
        <v>B1807555</v>
      </c>
      <c r="B2" s="7" t="str">
        <f ca="1">IFERROR(__xludf.UNSUPPORTED("""COMPUTED_VALUE"""),"Nguyen Trong")</f>
        <v>Nguyen Trong</v>
      </c>
      <c r="C2" s="6" t="str">
        <f ca="1">IFERROR(__xludf.UNSUPPORTED("""COMPUTED_VALUE"""),"Hieu")</f>
        <v>Hieu</v>
      </c>
      <c r="D2" s="7" t="str">
        <f ca="1">IFERROR(__xludf.UNSUPPORTED("""COMPUTED_VALUE"""),"Computer Networks And Communication")</f>
        <v>Computer Networks And Communication</v>
      </c>
      <c r="E2" s="6">
        <f ca="1">IFERROR(__xludf.UNSUPPORTED("""COMPUTED_VALUE"""),2)</f>
        <v>2</v>
      </c>
    </row>
    <row r="3" spans="1:5">
      <c r="A3" s="6" t="str">
        <f ca="1">IFERROR(__xludf.UNSUPPORTED("""COMPUTED_VALUE"""),"B2000000")</f>
        <v>B2000000</v>
      </c>
      <c r="B3" s="7" t="str">
        <f ca="1">IFERROR(__xludf.UNSUPPORTED("""COMPUTED_VALUE"""),"Mai Thanh")</f>
        <v>Mai Thanh</v>
      </c>
      <c r="C3" s="6" t="str">
        <f ca="1">IFERROR(__xludf.UNSUPPORTED("""COMPUTED_VALUE"""),"Dat")</f>
        <v>Dat</v>
      </c>
      <c r="D3" s="7" t="str">
        <f ca="1">IFERROR(__xludf.UNSUPPORTED("""COMPUTED_VALUE"""),"Information Technology")</f>
        <v>Information Technology</v>
      </c>
      <c r="E3" s="6">
        <f ca="1">IFERROR(__xludf.UNSUPPORTED("""COMPUTED_VALUE"""),2)</f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Nguyễn</cp:lastModifiedBy>
  <cp:revision/>
  <dcterms:created xsi:type="dcterms:W3CDTF">2026-02-04T09:42:43Z</dcterms:created>
  <dcterms:modified xsi:type="dcterms:W3CDTF">2026-02-04T09:42:43Z</dcterms:modified>
  <cp:category/>
  <cp:contentStatus/>
</cp:coreProperties>
</file>