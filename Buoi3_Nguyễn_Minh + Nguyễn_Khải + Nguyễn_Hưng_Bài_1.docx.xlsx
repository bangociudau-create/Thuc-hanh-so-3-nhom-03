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1"/>
  <workbookPr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xr:revisionPtr revIDLastSave="78" documentId="8_{991D9652-356B-4368-8D41-9640AC61AD37}" xr6:coauthVersionLast="47" xr6:coauthVersionMax="47" xr10:uidLastSave="{F27F9E59-205F-46ED-B302-477721021332}"/>
  <bookViews>
    <workbookView xWindow="0" yWindow="0" windowWidth="21000" windowHeight="9705" activeTab="1" xr2:uid="{00000000-000D-0000-FFFF-FFFF00000000}"/>
  </bookViews>
  <sheets>
    <sheet name="Tổng hợp điểm" sheetId="1" r:id="rId1"/>
    <sheet name="Các bảng tham chiếu &amp; Thống kê " sheetId="2" r:id="rId2"/>
    <sheet name="Điểm thực hành các buổi" sheetId="3" r:id="rId3"/>
    <sheet name="Điểm lý thuyết" sheetId="4" r:id="rId4"/>
    <sheet name="Điểm bài tập lớn" sheetId="5" r:id="rId5"/>
    <sheet name="Sinh viên điểm &lt; 7" sheetId="6" r:id="rId6"/>
    <sheet name="Sinh viên điểm &gt;= 7" sheetId="7" r:id="rId7"/>
  </sheets>
  <definedNames>
    <definedName name="_xlnm._FilterDatabase" localSheetId="0" hidden="1">'Tổng hợp điểm'!$A$6:$K$20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2" l="1" a="1"/>
  <c r="F28" i="2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7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H7" i="1"/>
  <c r="F27" i="2" a="1"/>
  <c r="F27" i="2"/>
  <c r="F24" i="2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G8" i="1"/>
  <c r="G9" i="1"/>
  <c r="G10" i="1"/>
  <c r="G11" i="1"/>
  <c r="G12" i="1"/>
  <c r="G13" i="1"/>
  <c r="G14" i="1"/>
  <c r="K14" i="1" s="1"/>
  <c r="G15" i="1"/>
  <c r="G16" i="1"/>
  <c r="G17" i="1"/>
  <c r="K17" i="1" s="1"/>
  <c r="G18" i="1"/>
  <c r="G19" i="1"/>
  <c r="K19" i="1" s="1"/>
  <c r="G20" i="1"/>
  <c r="G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F7" i="1"/>
  <c r="E7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C7" i="3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7" i="1"/>
  <c r="K20" i="1" l="1"/>
  <c r="K18" i="1"/>
  <c r="K16" i="1"/>
  <c r="K15" i="1"/>
  <c r="K13" i="1"/>
  <c r="K12" i="1"/>
  <c r="K11" i="1"/>
  <c r="K10" i="1"/>
  <c r="K9" i="1"/>
  <c r="K8" i="1"/>
  <c r="K7" i="1" l="1"/>
  <c r="A2" i="7" a="1"/>
  <c r="A2" i="7" s="1"/>
  <c r="A2" i="6" a="1"/>
  <c r="A2" i="6" s="1"/>
  <c r="F15" i="2"/>
  <c r="F16" i="2"/>
  <c r="F17" i="2"/>
  <c r="F18" i="2"/>
  <c r="F19" i="2"/>
  <c r="F20" i="2"/>
  <c r="F21" i="2"/>
  <c r="F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<sst xmlns="http://schemas.openxmlformats.org/spreadsheetml/2006/main" count="217" uniqueCount="98">
  <si>
    <t>ĐIỂM THI HK1-2018-2019 (CT428)</t>
  </si>
  <si>
    <t>Ma CB</t>
  </si>
  <si>
    <t>Ho va ten</t>
  </si>
  <si>
    <t>Nguyen Minh Trung</t>
  </si>
  <si>
    <t>Ma MH</t>
  </si>
  <si>
    <t>CT428</t>
  </si>
  <si>
    <t>Ma NH</t>
  </si>
  <si>
    <t>Nam hoc</t>
  </si>
  <si>
    <t>2020-2021</t>
  </si>
  <si>
    <t>Hoc ky</t>
  </si>
  <si>
    <t xml:space="preserve">S              T             T         </t>
  </si>
  <si>
    <t>MÃ SV</t>
  </si>
  <si>
    <t>Họ và tên</t>
  </si>
  <si>
    <t>Điểm TH 1</t>
  </si>
  <si>
    <t>Điểm TH 2</t>
  </si>
  <si>
    <t>Điểm TH 3</t>
  </si>
  <si>
    <t>Điểm       BT           lớn</t>
  </si>
  <si>
    <t>Điểm LT</t>
  </si>
  <si>
    <t>Điểm tổng</t>
  </si>
  <si>
    <t>Điểm theo thang điểm 10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</si>
  <si>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</si>
  <si>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</si>
  <si>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</si>
  <si>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</si>
  <si>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</si>
  <si>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</si>
  <si>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</si>
  <si>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</si>
  <si>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</si>
  <si>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</si>
  <si>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</si>
  <si>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</si>
  <si>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2B1609759</t>
  </si>
  <si>
    <t>5B1609765</t>
  </si>
  <si>
    <t>0B1609773</t>
  </si>
  <si>
    <t>Bảng quy đổi điểm</t>
  </si>
  <si>
    <t>Bảng Điểm Chuyên cần</t>
  </si>
  <si>
    <t>Điểm theo thang điểm 4</t>
  </si>
  <si>
    <t xml:space="preserve">Số buổi vắng 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</si>
  <si>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</si>
  <si>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</si>
  <si>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</si>
  <si>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</si>
  <si>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</si>
  <si>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</si>
  <si>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</si>
  <si>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</si>
  <si>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</si>
  <si>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Danh sách Sinh viên</t>
  </si>
  <si>
    <t>Bảng thống kê theo điểm chữ</t>
  </si>
  <si>
    <t>STT</t>
  </si>
  <si>
    <t>Mã SV</t>
  </si>
  <si>
    <t>Số lượng sinh viên</t>
  </si>
  <si>
    <t>B1509929</t>
  </si>
  <si>
    <t>Đặng Duy Linh</t>
  </si>
  <si>
    <t>B1605285</t>
  </si>
  <si>
    <t>Huỳnh Thị Diễm</t>
  </si>
  <si>
    <t>B1605291</t>
  </si>
  <si>
    <t>Trần Thanh Nguyên</t>
  </si>
  <si>
    <t>B1605249</t>
  </si>
  <si>
    <t>Lê Minh Thông</t>
  </si>
  <si>
    <t>B1605223</t>
  </si>
  <si>
    <t>Le Thị Trúc Linh</t>
  </si>
  <si>
    <t>B1505915</t>
  </si>
  <si>
    <t>Lý Minh Trí</t>
  </si>
  <si>
    <t>B1607025</t>
  </si>
  <si>
    <t>Nguyễn Chí Thanh</t>
  </si>
  <si>
    <t>B1609773</t>
  </si>
  <si>
    <t>Nguyễn Duy Khanh</t>
  </si>
  <si>
    <t>B1609759</t>
  </si>
  <si>
    <t>Nguyễn Hải Anh</t>
  </si>
  <si>
    <t>B1509874</t>
  </si>
  <si>
    <t>Nguyễn Kiều Mi</t>
  </si>
  <si>
    <t>Bảng thống kê SV</t>
  </si>
  <si>
    <t>B1605344</t>
  </si>
  <si>
    <t>Nguyễn Thị Đào</t>
  </si>
  <si>
    <t>Số sinh viên điểm BT lớn = 0 hoặc điểm LT = -3</t>
  </si>
  <si>
    <t>B1505719</t>
  </si>
  <si>
    <t>Nguyễn Văn Hiếu</t>
  </si>
  <si>
    <t>B1605235</t>
  </si>
  <si>
    <t>Phạm Thị Huỳnh</t>
  </si>
  <si>
    <t>B1609765</t>
  </si>
  <si>
    <t>Trần Nam Dương</t>
  </si>
  <si>
    <t>Số SV nghỉ TH &gt; 2</t>
  </si>
  <si>
    <t>Số sinh viên có Điểm theo thang điểm 10 &gt;=7 và có Điểm chữ là B+ hoặc A</t>
  </si>
  <si>
    <t>Điểm thực hành các buổi</t>
  </si>
  <si>
    <t xml:space="preserve">STT </t>
  </si>
  <si>
    <t xml:space="preserve">Mã SV </t>
  </si>
  <si>
    <t xml:space="preserve">Họ và tên </t>
  </si>
  <si>
    <t xml:space="preserve">Lê Minh Thông </t>
  </si>
  <si>
    <t xml:space="preserve">Trần Thanh Nguyên </t>
  </si>
  <si>
    <t xml:space="preserve">Nguyễn Hải Anh </t>
  </si>
  <si>
    <t>Điểm lý thuyết</t>
  </si>
  <si>
    <t>Lê Thị Trúc Linh</t>
  </si>
  <si>
    <t xml:space="preserve"> Lê Minh Thông</t>
  </si>
  <si>
    <t>Nguyễn Duy Khánh</t>
  </si>
  <si>
    <t>Điểm bài tập lớn</t>
  </si>
  <si>
    <t>Điểm BL lớn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</si>
</sst>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3"/>
      <color theme="1"/>
      <name val="Times New Roman"/>
      <family val="2"/>
    </font>
    <font>
      <sz val="13"/>
      <color theme="1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0206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5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0" fillId="0" borderId="1" xfId="0" applyBorder="1" applyAlignment="1">
      <alignment horizontal="right"/>
    </xf>
    <xf numFmtId="0" fontId="3" fillId="5" borderId="1" xfId="0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7" xfId="0" applyBorder="1"/>
    <xf numFmtId="0" fontId="2" fillId="2" borderId="1" xfId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0" fillId="0" borderId="1" xfId="0" applyNumberFormat="1" applyBorder="1"/>
    <xf numFmtId="2" fontId="0" fillId="0" borderId="1" xfId="0" applyNumberFormat="1" applyBorder="1" applyAlignment="1">
      <alignment wrapText="1"/>
    </xf>
    <xf numFmtId="2" fontId="0" fillId="0" borderId="1" xfId="0" applyNumberFormat="1" applyBorder="1"/>
    <xf numFmtId="2" fontId="0" fillId="4" borderId="1" xfId="0" applyNumberFormat="1" applyFill="1" applyBorder="1" applyAlignment="1">
      <alignment wrapText="1"/>
    </xf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6" borderId="7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" borderId="1" xfId="1" applyFont="1" applyBorder="1" applyAlignment="1">
      <alignment horizontal="center" wrapText="1"/>
    </xf>
    <xf numFmtId="0" fontId="0" fillId="5" borderId="9" xfId="0" applyFill="1" applyBorder="1" applyAlignment="1">
      <alignment wrapText="1"/>
    </xf>
    <xf numFmtId="0" fontId="0" fillId="5" borderId="4" xfId="0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 wrapText="1"/>
    </xf>
    <xf numFmtId="1" fontId="0" fillId="0" borderId="6" xfId="0" applyNumberForma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2" fillId="6" borderId="7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" borderId="1" xfId="1" applyFont="1" applyBorder="1" applyAlignment="1">
      <alignment horizontal="center" wrapText="1"/>
    </xf>
    <xf numFmtId="0" fontId="0" fillId="0" borderId="9" xfId="0" applyBorder="1" applyAlignment="1">
      <alignment horizontal="center" vertical="center"/>
    </xf>
  </cellXfs>
  <cellStyles count="2">
    <cellStyle name="20% - Accent1" xfId="1" builtinId="30"/>
    <cellStyle name="Bình thường" xfId="0" builtinId="0"/>
  </cellStyles>
  <dxfs count="0"/>
  <tableStyles count="0" defaultTableStyle="TableStyleMedium2" defaultPivotStyle="PivotStyleLight16"/>
  <colors>
    <mruColors>
      <color rgb="FFB2B2B2"/>
      <color rgb="FF5F5F5F"/>
      <color rgb="FFFF505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Thống kê tổng số lượng Sinh viên theo điểm chữ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BA-4387-AF27-2DBDD82CCB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5BA-4387-AF27-2DBDD82CCBE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5BA-4387-AF27-2DBDD82CCBE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5BA-4387-AF27-2DBDD82CCBE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5BA-4387-AF27-2DBDD82CCBE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5BA-4387-AF27-2DBDD82CCBE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5BA-4387-AF27-2DBDD82CCBE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5BA-4387-AF27-2DBDD82CCB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'Các bảng tham chiếu &amp; Thống kê 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'Các bảng tham chiếu &amp; Thống kê '!$F$14:$F$21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E0-43FA-ACBC-A1F8CCB308A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678006934335476"/>
          <c:y val="0.28009044775152109"/>
          <c:w val="7.6405825378022443E-2"/>
          <c:h val="0.6250043744531934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3790950</xdr:colOff>
      <xdr:row>31</xdr:row>
      <xdr:rowOff>19050</xdr:rowOff>
    </xdr:from>
    <xdr:to>
      <xdr:col>6</xdr:col>
      <xdr:colOff>28575</xdr:colOff>
      <xdr:row>44</xdr:row>
      <xdr:rowOff>38100</xdr:rowOff>
    </xdr:to>
    <xdr:graphicFrame macro="">
      <xdr:nvGraphicFramePr>
        <xdr:cNvPr id="2" name="Biểu đồ 1">
          <a:extLst>
            <a:ext uri="{FF2B5EF4-FFF2-40B4-BE49-F238E27FC236}">
              <a16:creationId xmlns:a16="http://schemas.microsoft.com/office/drawing/2014/main" id="{E6C802C3-CF73-9FB1-C323-31120E3B0F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zoomScale="90" zoomScaleNormal="90" workbookViewId="0">
      <pane ySplit="6" topLeftCell="A7" activePane="bottomLeft" state="frozen"/>
      <selection pane="bottomLeft" activeCell="B6" sqref="B6"/>
    </sheetView>
  </sheetViews>
  <sheetFormatPr defaultRowHeight="16.5"/>
  <cols>
    <col min="1" max="1" width="5.6640625" customWidth="1"/>
    <col min="2" max="2" width="17.77734375" customWidth="1"/>
    <col min="3" max="3" width="17.88671875" customWidth="1"/>
    <col min="4" max="4" width="9.21875" customWidth="1"/>
    <col min="5" max="5" width="9.88671875" customWidth="1"/>
    <col min="6" max="6" width="9.77734375" customWidth="1"/>
    <col min="7" max="7" width="23.77734375" bestFit="1" customWidth="1"/>
    <col min="9" max="11" width="35.5546875" bestFit="1" customWidth="1"/>
  </cols>
  <sheetData>
    <row r="1" spans="1:11">
      <c r="A1" s="1"/>
      <c r="B1" s="32" t="s">
        <v>0</v>
      </c>
      <c r="C1" s="33"/>
      <c r="D1" s="33"/>
      <c r="E1" s="33"/>
      <c r="F1" s="33"/>
      <c r="G1" s="33"/>
      <c r="H1" s="33"/>
      <c r="I1" s="33"/>
      <c r="J1" s="33"/>
      <c r="K1" s="33"/>
    </row>
    <row r="2" spans="1:11" ht="25.5" customHeight="1">
      <c r="A2" s="1"/>
      <c r="B2" s="2" t="s">
        <v>1</v>
      </c>
      <c r="C2" s="3">
        <v>1043</v>
      </c>
      <c r="D2" s="34" t="s">
        <v>2</v>
      </c>
      <c r="E2" s="34"/>
      <c r="F2" s="34" t="s">
        <v>3</v>
      </c>
      <c r="G2" s="34"/>
      <c r="H2" s="34"/>
      <c r="I2" s="1"/>
      <c r="J2" s="1"/>
      <c r="K2" s="1"/>
    </row>
    <row r="3" spans="1:11">
      <c r="A3" s="1"/>
      <c r="B3" s="2" t="s">
        <v>4</v>
      </c>
      <c r="C3" s="1" t="s">
        <v>5</v>
      </c>
      <c r="D3" s="35" t="s">
        <v>6</v>
      </c>
      <c r="E3" s="35"/>
      <c r="F3" s="35">
        <v>8</v>
      </c>
      <c r="G3" s="35"/>
      <c r="H3" s="35"/>
      <c r="I3" s="1"/>
      <c r="J3" s="1"/>
      <c r="K3" s="1"/>
    </row>
    <row r="4" spans="1:11">
      <c r="A4" s="1"/>
      <c r="B4" s="1" t="s">
        <v>7</v>
      </c>
      <c r="C4" s="1" t="s">
        <v>8</v>
      </c>
      <c r="D4" s="35" t="s">
        <v>9</v>
      </c>
      <c r="E4" s="35"/>
      <c r="F4" s="36">
        <v>1</v>
      </c>
      <c r="G4" s="36"/>
      <c r="H4" s="36"/>
      <c r="I4" s="1"/>
      <c r="J4" s="1"/>
      <c r="K4" s="1"/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67.5" customHeight="1">
      <c r="A6" s="4" t="s">
        <v>10</v>
      </c>
      <c r="B6" s="5" t="s">
        <v>11</v>
      </c>
      <c r="C6" s="5" t="s">
        <v>12</v>
      </c>
      <c r="D6" s="5" t="s">
        <v>13</v>
      </c>
      <c r="E6" s="6" t="s">
        <v>14</v>
      </c>
      <c r="F6" s="5" t="s">
        <v>15</v>
      </c>
      <c r="G6" s="4" t="s">
        <v>16</v>
      </c>
      <c r="H6" s="5" t="s">
        <v>17</v>
      </c>
      <c r="I6" s="5" t="s">
        <v>18</v>
      </c>
      <c r="J6" s="4" t="s">
        <v>19</v>
      </c>
      <c r="K6" s="5" t="s">
        <v>20</v>
      </c>
    </row>
    <row r="7" spans="1:11" ht="17.25">
      <c r="A7" s="18">
        <v>1</v>
      </c>
      <c r="B7" s="1" t="s">
        <v>21</v>
      </c>
      <c r="C7" s="12" t="str">
        <f>VLOOKUP(RIGHT(B7, 8), 'Các bảng tham chiếu &amp; Thống kê '!$B$14:$C$27, 2, 0)</f>
        <v>Nguyễn Văn Hiếu</v>
      </c>
      <c r="D7" s="14">
        <f>VLOOKUP(RIGHT(B7, 8), 'Điểm thực hành các buổi'!$B$3:$G$16, 4, 0)</f>
        <v>0.45</v>
      </c>
      <c r="E7" s="14">
        <f>VLOOKUP(RIGHT(B7, 8), 'Điểm thực hành các buổi'!$B$2:$G$16, 5, 0)</f>
        <v>0.25</v>
      </c>
      <c r="F7" s="14">
        <f>VLOOKUP(RIGHT(B7, 8), 'Điểm thực hành các buổi'!$B$2:$G$16, 6, 0)</f>
        <v>0.3</v>
      </c>
      <c r="G7" s="15">
        <f>VLOOKUP(RIGHT(B7, 8), 'Điểm bài tập lớn'!$B$3:$D$16, 3, 0)</f>
        <v>0.5</v>
      </c>
      <c r="H7" s="13">
        <f>VLOOKUP(RIGHT(B7, 8), 'Điểm lý thuyết'!$B$3:$F$16, 4, 0)</f>
        <v>4.2</v>
      </c>
      <c r="I7" s="14">
        <f>IF(H7=-3, 0, D7+E7+F7+G7+0.6*H7)</f>
        <v>4.0199999999999996</v>
      </c>
      <c r="J7" s="16">
        <f>I7 + IF(MID(B7, FIND("B", B7)-1, 1)="0", 1, IF(MID(B7, FIND("B", B7)-1, 1)="1", 0.5, IF(MID(B7, FIND("B", B7)-1, 1)="2", 0.25, 0)))</f>
        <v>5.0199999999999996</v>
      </c>
      <c r="K7" s="16" t="str">
        <f>VLOOKUP(J7, 'Các bảng tham chiếu &amp; Thống kê '!$A$3:$B$10, 2, 1)</f>
        <v>D+</v>
      </c>
    </row>
    <row r="8" spans="1:11" ht="17.25">
      <c r="A8" s="18">
        <v>2</v>
      </c>
      <c r="B8" s="1" t="s">
        <v>22</v>
      </c>
      <c r="C8" s="12" t="str">
        <f>VLOOKUP(RIGHT(B8, 8), 'Các bảng tham chiếu &amp; Thống kê '!$B$14:$C$27, 2, 0)</f>
        <v>Lý Minh Trí</v>
      </c>
      <c r="D8" s="14">
        <f>VLOOKUP(RIGHT(B8, 8), 'Điểm thực hành các buổi'!$B$3:$G$16, 4, 0)</f>
        <v>0.5</v>
      </c>
      <c r="E8" s="14">
        <f>VLOOKUP(RIGHT(B8, 8), 'Điểm thực hành các buổi'!$B$2:$G$16, 5, 0)</f>
        <v>0.35</v>
      </c>
      <c r="F8" s="14">
        <f>VLOOKUP(RIGHT(B8, 8), 'Điểm thực hành các buổi'!$B$2:$G$16, 6, 0)</f>
        <v>0.4</v>
      </c>
      <c r="G8" s="15">
        <f>VLOOKUP(RIGHT(B8, 8), 'Điểm bài tập lớn'!$B$3:$D$16, 3, 0)</f>
        <v>1</v>
      </c>
      <c r="H8" s="13">
        <f>VLOOKUP(RIGHT(B8, 8), 'Điểm lý thuyết'!$B$3:$F$16, 4, 0)</f>
        <v>5.8</v>
      </c>
      <c r="I8" s="14">
        <f t="shared" ref="I8:I20" si="0">IF(H8=-3, 0, D8+E8+F8+G8+0.6*H8)</f>
        <v>5.73</v>
      </c>
      <c r="J8" s="16">
        <f t="shared" ref="J8:J20" si="1">I8 + IF(MID(B8, FIND("B", B8)-1, 1)="0", 1, IF(MID(B8, FIND("B", B8)-1, 1)="1", 0.5, IF(MID(B8, FIND("B", B8)-1, 1)="2", 0.25, 0)))</f>
        <v>6.23</v>
      </c>
      <c r="K8" s="16" t="str">
        <f>VLOOKUP(J8, 'Các bảng tham chiếu &amp; Thống kê '!$A$3:$B$10, 2, 1)</f>
        <v>C</v>
      </c>
    </row>
    <row r="9" spans="1:11" ht="17.25">
      <c r="A9" s="18">
        <v>3</v>
      </c>
      <c r="B9" s="1" t="s">
        <v>23</v>
      </c>
      <c r="C9" s="12" t="str">
        <f>VLOOKUP(RIGHT(B9, 8), 'Các bảng tham chiếu &amp; Thống kê '!$B$14:$C$27, 2, 0)</f>
        <v>Nguyễn Kiều Mi</v>
      </c>
      <c r="D9" s="14">
        <f>VLOOKUP(RIGHT(B9, 8), 'Điểm thực hành các buổi'!$B$3:$G$16, 4, 0)</f>
        <v>0.25</v>
      </c>
      <c r="E9" s="14">
        <f>VLOOKUP(RIGHT(B9, 8), 'Điểm thực hành các buổi'!$B$2:$G$16, 5, 0)</f>
        <v>0.25</v>
      </c>
      <c r="F9" s="14">
        <f>VLOOKUP(RIGHT(B9, 8), 'Điểm thực hành các buổi'!$B$2:$G$16, 6, 0)</f>
        <v>0.3</v>
      </c>
      <c r="G9" s="15">
        <f>VLOOKUP(RIGHT(B9, 8), 'Điểm bài tập lớn'!$B$3:$D$16, 3, 0)</f>
        <v>0.5</v>
      </c>
      <c r="H9" s="13">
        <f>VLOOKUP(RIGHT(B9, 8), 'Điểm lý thuyết'!$B$3:$F$16, 4, 0)</f>
        <v>5.8</v>
      </c>
      <c r="I9" s="14">
        <f t="shared" si="0"/>
        <v>4.78</v>
      </c>
      <c r="J9" s="16">
        <f t="shared" si="1"/>
        <v>5.78</v>
      </c>
      <c r="K9" s="16" t="str">
        <f>VLOOKUP(J9, 'Các bảng tham chiếu &amp; Thống kê '!$A$3:$B$10, 2, 1)</f>
        <v>C</v>
      </c>
    </row>
    <row r="10" spans="1:11" ht="17.25">
      <c r="A10" s="18">
        <v>4</v>
      </c>
      <c r="B10" s="1" t="s">
        <v>24</v>
      </c>
      <c r="C10" s="12" t="str">
        <f>VLOOKUP(RIGHT(B10, 8), 'Các bảng tham chiếu &amp; Thống kê '!$B$14:$C$27, 2, 0)</f>
        <v>Đặng Duy Linh</v>
      </c>
      <c r="D10" s="14">
        <f>VLOOKUP(RIGHT(B10, 8), 'Điểm thực hành các buổi'!$B$3:$G$16, 4, 0)</f>
        <v>0.4</v>
      </c>
      <c r="E10" s="14">
        <f>VLOOKUP(RIGHT(B10, 8), 'Điểm thực hành các buổi'!$B$2:$G$16, 5, 0)</f>
        <v>0.25</v>
      </c>
      <c r="F10" s="14">
        <f>VLOOKUP(RIGHT(B10, 8), 'Điểm thực hành các buổi'!$B$2:$G$16, 6, 0)</f>
        <v>0.35</v>
      </c>
      <c r="G10" s="15">
        <f>VLOOKUP(RIGHT(B10, 8), 'Điểm bài tập lớn'!$B$3:$D$16, 3, 0)</f>
        <v>1</v>
      </c>
      <c r="H10" s="13">
        <f>VLOOKUP(RIGHT(B10, 8), 'Điểm lý thuyết'!$B$3:$F$16, 4, 0)</f>
        <v>4.5</v>
      </c>
      <c r="I10" s="14">
        <f t="shared" si="0"/>
        <v>4.6999999999999993</v>
      </c>
      <c r="J10" s="16">
        <f t="shared" si="1"/>
        <v>5.6999999999999993</v>
      </c>
      <c r="K10" s="16" t="str">
        <f>VLOOKUP(J10, 'Các bảng tham chiếu &amp; Thống kê '!$A$3:$B$10, 2, 1)</f>
        <v>C</v>
      </c>
    </row>
    <row r="11" spans="1:11" ht="17.25">
      <c r="A11" s="18">
        <v>5</v>
      </c>
      <c r="B11" s="1" t="s">
        <v>25</v>
      </c>
      <c r="C11" s="12" t="str">
        <f>VLOOKUP(RIGHT(B11, 8), 'Các bảng tham chiếu &amp; Thống kê '!$B$14:$C$27, 2, 0)</f>
        <v>Le Thị Trúc Linh</v>
      </c>
      <c r="D11" s="14">
        <f>VLOOKUP(RIGHT(B11, 8), 'Điểm thực hành các buổi'!$B$3:$G$16, 4, 0)</f>
        <v>0.45</v>
      </c>
      <c r="E11" s="14">
        <f>VLOOKUP(RIGHT(B11, 8), 'Điểm thực hành các buổi'!$B$2:$G$16, 5, 0)</f>
        <v>0.4</v>
      </c>
      <c r="F11" s="14">
        <f>VLOOKUP(RIGHT(B11, 8), 'Điểm thực hành các buổi'!$B$2:$G$16, 6, 0)</f>
        <v>0.35</v>
      </c>
      <c r="G11" s="15">
        <f>VLOOKUP(RIGHT(B11, 8), 'Điểm bài tập lớn'!$B$3:$D$16, 3, 0)</f>
        <v>1.75</v>
      </c>
      <c r="H11" s="13">
        <f>VLOOKUP(RIGHT(B11, 8), 'Điểm lý thuyết'!$B$3:$F$16, 4, 0)</f>
        <v>5.5</v>
      </c>
      <c r="I11" s="14">
        <f t="shared" si="0"/>
        <v>6.25</v>
      </c>
      <c r="J11" s="16">
        <f t="shared" si="1"/>
        <v>6.5</v>
      </c>
      <c r="K11" s="16" t="str">
        <f>VLOOKUP(J11, 'Các bảng tham chiếu &amp; Thống kê '!$A$3:$B$10, 2, 1)</f>
        <v>C+</v>
      </c>
    </row>
    <row r="12" spans="1:11" ht="17.25">
      <c r="A12" s="18">
        <v>6</v>
      </c>
      <c r="B12" s="1" t="s">
        <v>26</v>
      </c>
      <c r="C12" s="12" t="str">
        <f>VLOOKUP(RIGHT(B12, 8), 'Các bảng tham chiếu &amp; Thống kê '!$B$14:$C$27, 2, 0)</f>
        <v>Phạm Thị Huỳnh</v>
      </c>
      <c r="D12" s="14">
        <f>VLOOKUP(RIGHT(B12, 8), 'Điểm thực hành các buổi'!$B$3:$G$16, 4, 0)</f>
        <v>0.4</v>
      </c>
      <c r="E12" s="14">
        <f>VLOOKUP(RIGHT(B12, 8), 'Điểm thực hành các buổi'!$B$2:$G$16, 5, 0)</f>
        <v>0.45</v>
      </c>
      <c r="F12" s="14">
        <f>VLOOKUP(RIGHT(B12, 8), 'Điểm thực hành các buổi'!$B$2:$G$16, 6, 0)</f>
        <v>0.5</v>
      </c>
      <c r="G12" s="15">
        <f>VLOOKUP(RIGHT(B12, 8), 'Điểm bài tập lớn'!$B$3:$D$16, 3, 0)</f>
        <v>1.2</v>
      </c>
      <c r="H12" s="15">
        <f>VLOOKUP(RIGHT(B12, 8), 'Điểm lý thuyết'!$B$3:$F$16, 4, 0)</f>
        <v>7.5</v>
      </c>
      <c r="I12" s="14">
        <f t="shared" si="0"/>
        <v>7.05</v>
      </c>
      <c r="J12" s="16">
        <f t="shared" si="1"/>
        <v>8.0500000000000007</v>
      </c>
      <c r="K12" s="16" t="str">
        <f>VLOOKUP(J12, 'Các bảng tham chiếu &amp; Thống kê '!$A$3:$B$10, 2, 1)</f>
        <v>B+</v>
      </c>
    </row>
    <row r="13" spans="1:11" ht="17.25">
      <c r="A13" s="18">
        <v>7</v>
      </c>
      <c r="B13" s="1" t="s">
        <v>27</v>
      </c>
      <c r="C13" s="12" t="str">
        <f>VLOOKUP(RIGHT(B13, 8), 'Các bảng tham chiếu &amp; Thống kê '!$B$14:$C$27, 2, 0)</f>
        <v>Lê Minh Thông</v>
      </c>
      <c r="D13" s="14">
        <f>VLOOKUP(RIGHT(B13, 8), 'Điểm thực hành các buổi'!$B$3:$G$16, 4, 0)</f>
        <v>0.4</v>
      </c>
      <c r="E13" s="14">
        <f>VLOOKUP(RIGHT(B13, 8), 'Điểm thực hành các buổi'!$B$2:$G$16, 5, 0)</f>
        <v>0.4</v>
      </c>
      <c r="F13" s="14">
        <f>VLOOKUP(RIGHT(B13, 8), 'Điểm thực hành các buổi'!$B$2:$G$16, 6, 0)</f>
        <v>0.4</v>
      </c>
      <c r="G13" s="15">
        <f>VLOOKUP(RIGHT(B13, 8), 'Điểm bài tập lớn'!$B$3:$D$16, 3, 0)</f>
        <v>1</v>
      </c>
      <c r="H13" s="13">
        <f>VLOOKUP(RIGHT(B13, 8), 'Điểm lý thuyết'!$B$3:$F$16, 4, 0)</f>
        <v>5.3</v>
      </c>
      <c r="I13" s="14">
        <f t="shared" si="0"/>
        <v>5.38</v>
      </c>
      <c r="J13" s="16">
        <f t="shared" si="1"/>
        <v>6.38</v>
      </c>
      <c r="K13" s="16" t="str">
        <f>VLOOKUP(J13, 'Các bảng tham chiếu &amp; Thống kê '!$A$3:$B$10, 2, 1)</f>
        <v>C</v>
      </c>
    </row>
    <row r="14" spans="1:11" ht="17.25">
      <c r="A14" s="18">
        <v>8</v>
      </c>
      <c r="B14" s="1" t="s">
        <v>28</v>
      </c>
      <c r="C14" s="12" t="str">
        <f>VLOOKUP(RIGHT(B14, 8), 'Các bảng tham chiếu &amp; Thống kê '!$B$14:$C$27, 2, 0)</f>
        <v>Huỳnh Thị Diễm</v>
      </c>
      <c r="D14" s="14">
        <f>VLOOKUP(RIGHT(B14, 8), 'Điểm thực hành các buổi'!$B$3:$G$16, 4, 0)</f>
        <v>0.45</v>
      </c>
      <c r="E14" s="14">
        <f>VLOOKUP(RIGHT(B14, 8), 'Điểm thực hành các buổi'!$B$2:$G$16, 5, 0)</f>
        <v>0.4</v>
      </c>
      <c r="F14" s="14">
        <f>VLOOKUP(RIGHT(B14, 8), 'Điểm thực hành các buổi'!$B$2:$G$16, 6, 0)</f>
        <v>0.45</v>
      </c>
      <c r="G14" s="15">
        <f>VLOOKUP(RIGHT(B14, 8), 'Điểm bài tập lớn'!$B$3:$D$16, 3, 0)</f>
        <v>0</v>
      </c>
      <c r="H14" s="13">
        <f>VLOOKUP(RIGHT(B14, 8), 'Điểm lý thuyết'!$B$3:$F$16, 4, 0)</f>
        <v>6.8</v>
      </c>
      <c r="I14" s="14">
        <f t="shared" si="0"/>
        <v>5.38</v>
      </c>
      <c r="J14" s="16">
        <f t="shared" si="1"/>
        <v>6.38</v>
      </c>
      <c r="K14" s="16" t="str">
        <f>VLOOKUP(J14, 'Các bảng tham chiếu &amp; Thống kê '!$A$3:$B$10, 2, 1)</f>
        <v>C</v>
      </c>
    </row>
    <row r="15" spans="1:11" ht="17.25">
      <c r="A15" s="18">
        <v>9</v>
      </c>
      <c r="B15" s="1" t="s">
        <v>29</v>
      </c>
      <c r="C15" s="12" t="str">
        <f>VLOOKUP(RIGHT(B15, 8), 'Các bảng tham chiếu &amp; Thống kê '!$B$14:$C$27, 2, 0)</f>
        <v>Trần Thanh Nguyên</v>
      </c>
      <c r="D15" s="14">
        <f>VLOOKUP(RIGHT(B15, 8), 'Điểm thực hành các buổi'!$B$3:$G$16, 4, 0)</f>
        <v>0.45</v>
      </c>
      <c r="E15" s="14">
        <f>VLOOKUP(RIGHT(B15, 8), 'Điểm thực hành các buổi'!$B$2:$G$16, 5, 0)</f>
        <v>0.4</v>
      </c>
      <c r="F15" s="14">
        <f>VLOOKUP(RIGHT(B15, 8), 'Điểm thực hành các buổi'!$B$2:$G$16, 6, 0)</f>
        <v>0.4</v>
      </c>
      <c r="G15" s="15">
        <f>VLOOKUP(RIGHT(B15, 8), 'Điểm bài tập lớn'!$B$3:$D$16, 3, 0)</f>
        <v>0.75</v>
      </c>
      <c r="H15" s="13">
        <f>VLOOKUP(RIGHT(B15, 8), 'Điểm lý thuyết'!$B$3:$F$16, 4, 0)</f>
        <v>6.3</v>
      </c>
      <c r="I15" s="14">
        <f t="shared" si="0"/>
        <v>5.7799999999999994</v>
      </c>
      <c r="J15" s="16">
        <f t="shared" si="1"/>
        <v>6.7799999999999994</v>
      </c>
      <c r="K15" s="16" t="str">
        <f>VLOOKUP(J15, 'Các bảng tham chiếu &amp; Thống kê '!$A$3:$B$10, 2, 1)</f>
        <v>C+</v>
      </c>
    </row>
    <row r="16" spans="1:11" ht="17.25">
      <c r="A16" s="18">
        <v>10</v>
      </c>
      <c r="B16" s="1" t="s">
        <v>30</v>
      </c>
      <c r="C16" s="12" t="str">
        <f>VLOOKUP(RIGHT(B16, 8), 'Các bảng tham chiếu &amp; Thống kê '!$B$14:$C$27, 2, 0)</f>
        <v>Nguyễn Thị Đào</v>
      </c>
      <c r="D16" s="14">
        <f>VLOOKUP(RIGHT(B16, 8), 'Điểm thực hành các buổi'!$B$3:$G$16, 4, 0)</f>
        <v>0.3</v>
      </c>
      <c r="E16" s="14">
        <f>VLOOKUP(RIGHT(B16, 8), 'Điểm thực hành các buổi'!$B$2:$G$16, 5, 0)</f>
        <v>0.5</v>
      </c>
      <c r="F16" s="14">
        <f>VLOOKUP(RIGHT(B16, 8), 'Điểm thực hành các buổi'!$B$2:$G$16, 6, 0)</f>
        <v>0.45</v>
      </c>
      <c r="G16" s="15">
        <f>VLOOKUP(RIGHT(B16, 8), 'Điểm bài tập lớn'!$B$3:$D$16, 3, 0)</f>
        <v>0.3</v>
      </c>
      <c r="H16" s="13">
        <f>VLOOKUP(RIGHT(B16, 8), 'Điểm lý thuyết'!$B$3:$F$16, 4, 0)</f>
        <v>8.3000000000000007</v>
      </c>
      <c r="I16" s="14">
        <f t="shared" si="0"/>
        <v>6.53</v>
      </c>
      <c r="J16" s="16">
        <f t="shared" si="1"/>
        <v>7.03</v>
      </c>
      <c r="K16" s="16" t="str">
        <f>VLOOKUP(J16, 'Các bảng tham chiếu &amp; Thống kê '!$A$3:$B$10, 2, 1)</f>
        <v>B</v>
      </c>
    </row>
    <row r="17" spans="1:11" ht="17.25">
      <c r="A17" s="18">
        <v>11</v>
      </c>
      <c r="B17" s="1" t="s">
        <v>31</v>
      </c>
      <c r="C17" s="12" t="str">
        <f>VLOOKUP(RIGHT(B17, 8), 'Các bảng tham chiếu &amp; Thống kê '!$B$14:$C$27, 2, 0)</f>
        <v>Nguyễn Chí Thanh</v>
      </c>
      <c r="D17" s="14">
        <f>VLOOKUP(RIGHT(B17, 8), 'Điểm thực hành các buổi'!$B$3:$G$16, 4, 0)</f>
        <v>0.4</v>
      </c>
      <c r="E17" s="14">
        <f>VLOOKUP(RIGHT(B17, 8), 'Điểm thực hành các buổi'!$B$2:$G$16, 5, 0)</f>
        <v>0.45</v>
      </c>
      <c r="F17" s="14">
        <f>VLOOKUP(RIGHT(B17, 8), 'Điểm thực hành các buổi'!$B$2:$G$16, 6, 0)</f>
        <v>0.4</v>
      </c>
      <c r="G17" s="15">
        <f>VLOOKUP(RIGHT(B17, 8), 'Điểm bài tập lớn'!$B$3:$D$16, 3, 0)</f>
        <v>0.3</v>
      </c>
      <c r="H17" s="13">
        <f>VLOOKUP(RIGHT(B17, 8), 'Điểm lý thuyết'!$B$3:$F$16, 4, 0)</f>
        <v>-3</v>
      </c>
      <c r="I17" s="14">
        <f t="shared" si="0"/>
        <v>0</v>
      </c>
      <c r="J17" s="16">
        <f t="shared" si="1"/>
        <v>0</v>
      </c>
      <c r="K17" s="16" t="str">
        <f>VLOOKUP(J17, 'Các bảng tham chiếu &amp; Thống kê '!$A$3:$B$10, 2, 1)</f>
        <v>F</v>
      </c>
    </row>
    <row r="18" spans="1:11" ht="17.25">
      <c r="A18" s="18">
        <v>12</v>
      </c>
      <c r="B18" s="1" t="s">
        <v>32</v>
      </c>
      <c r="C18" s="12" t="str">
        <f>VLOOKUP(RIGHT(B18, 8), 'Các bảng tham chiếu &amp; Thống kê '!$B$14:$C$27, 2, 0)</f>
        <v>Nguyễn Hải Anh</v>
      </c>
      <c r="D18" s="14">
        <f>VLOOKUP(RIGHT(B18, 8), 'Điểm thực hành các buổi'!$B$3:$G$16, 4, 0)</f>
        <v>0.5</v>
      </c>
      <c r="E18" s="14">
        <f>VLOOKUP(RIGHT(B18, 8), 'Điểm thực hành các buổi'!$B$2:$G$16, 5, 0)</f>
        <v>0.5</v>
      </c>
      <c r="F18" s="14">
        <f>VLOOKUP(RIGHT(B18, 8), 'Điểm thực hành các buổi'!$B$2:$G$16, 6, 0)</f>
        <v>0.45</v>
      </c>
      <c r="G18" s="15">
        <f>VLOOKUP(RIGHT(B18, 8), 'Điểm bài tập lớn'!$B$3:$D$16, 3, 0)</f>
        <v>1.5</v>
      </c>
      <c r="H18" s="15">
        <f>VLOOKUP(RIGHT(B18, 8), 'Điểm lý thuyết'!$B$3:$F$16, 4, 0)</f>
        <v>7</v>
      </c>
      <c r="I18" s="14">
        <f t="shared" si="0"/>
        <v>7.15</v>
      </c>
      <c r="J18" s="16">
        <f t="shared" si="1"/>
        <v>7.4</v>
      </c>
      <c r="K18" s="16" t="str">
        <f>VLOOKUP(J18, 'Các bảng tham chiếu &amp; Thống kê '!$A$3:$B$10, 2, 1)</f>
        <v>B</v>
      </c>
    </row>
    <row r="19" spans="1:11" ht="17.25">
      <c r="A19" s="18">
        <v>13</v>
      </c>
      <c r="B19" s="1" t="s">
        <v>33</v>
      </c>
      <c r="C19" s="12" t="str">
        <f>VLOOKUP(RIGHT(B19, 8), 'Các bảng tham chiếu &amp; Thống kê '!$B$14:$C$27, 2, 0)</f>
        <v>Trần Nam Dương</v>
      </c>
      <c r="D19" s="14">
        <f>VLOOKUP(RIGHT(B19, 8), 'Điểm thực hành các buổi'!$B$3:$G$16, 4, 0)</f>
        <v>0.4</v>
      </c>
      <c r="E19" s="14">
        <f>VLOOKUP(RIGHT(B19, 8), 'Điểm thực hành các buổi'!$B$2:$G$16, 5, 0)</f>
        <v>0.4</v>
      </c>
      <c r="F19" s="14">
        <f>VLOOKUP(RIGHT(B19, 8), 'Điểm thực hành các buổi'!$B$2:$G$16, 6, 0)</f>
        <v>0.35</v>
      </c>
      <c r="G19" s="15">
        <f>VLOOKUP(RIGHT(B19, 8), 'Điểm bài tập lớn'!$B$3:$D$16, 3, 0)</f>
        <v>1.35</v>
      </c>
      <c r="H19" s="13">
        <f>VLOOKUP(RIGHT(B19, 8), 'Điểm lý thuyết'!$B$3:$F$16, 4, 0)</f>
        <v>-3</v>
      </c>
      <c r="I19" s="14">
        <f t="shared" si="0"/>
        <v>0</v>
      </c>
      <c r="J19" s="16">
        <f t="shared" si="1"/>
        <v>0</v>
      </c>
      <c r="K19" s="16" t="str">
        <f>VLOOKUP(J19, 'Các bảng tham chiếu &amp; Thống kê '!$A$3:$B$10, 2, 1)</f>
        <v>F</v>
      </c>
    </row>
    <row r="20" spans="1:11" ht="17.25">
      <c r="A20" s="18">
        <v>14</v>
      </c>
      <c r="B20" s="1" t="s">
        <v>34</v>
      </c>
      <c r="C20" s="12" t="str">
        <f>VLOOKUP(RIGHT(B20, 8), 'Các bảng tham chiếu &amp; Thống kê '!$B$14:$C$27, 2, 0)</f>
        <v>Nguyễn Duy Khanh</v>
      </c>
      <c r="D20" s="14">
        <f>VLOOKUP(RIGHT(B20, 8), 'Điểm thực hành các buổi'!$B$3:$G$16, 4, 0)</f>
        <v>0.35</v>
      </c>
      <c r="E20" s="14">
        <f>VLOOKUP(RIGHT(B20, 8), 'Điểm thực hành các buổi'!$B$2:$G$16, 5, 0)</f>
        <v>0.4</v>
      </c>
      <c r="F20" s="14">
        <f>VLOOKUP(RIGHT(B20, 8), 'Điểm thực hành các buổi'!$B$2:$G$16, 6, 0)</f>
        <v>0</v>
      </c>
      <c r="G20" s="15">
        <f>VLOOKUP(RIGHT(B20, 8), 'Điểm bài tập lớn'!$B$3:$D$16, 3, 0)</f>
        <v>0.85</v>
      </c>
      <c r="H20" s="13">
        <f>VLOOKUP(RIGHT(B20, 8), 'Điểm lý thuyết'!$B$3:$F$16, 4, 0)</f>
        <v>6.5</v>
      </c>
      <c r="I20" s="14">
        <f t="shared" si="0"/>
        <v>5.5</v>
      </c>
      <c r="J20" s="16">
        <f t="shared" si="1"/>
        <v>6.5</v>
      </c>
      <c r="K20" s="16" t="str">
        <f>VLOOKUP(J20, 'Các bảng tham chiếu &amp; Thống kê '!$A$3:$B$10, 2, 1)</f>
        <v>C+</v>
      </c>
    </row>
  </sheetData>
  <mergeCells count="7">
    <mergeCell ref="B1:K1"/>
    <mergeCell ref="D2:E2"/>
    <mergeCell ref="F2:H2"/>
    <mergeCell ref="F3:H3"/>
    <mergeCell ref="F4:H4"/>
    <mergeCell ref="D3:E3"/>
    <mergeCell ref="D4:E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tabSelected="1" topLeftCell="A22" workbookViewId="0">
      <selection activeCell="F29" sqref="F29"/>
    </sheetView>
  </sheetViews>
  <sheetFormatPr defaultRowHeight="16.5"/>
  <cols>
    <col min="1" max="1" width="35.6640625" customWidth="1"/>
    <col min="2" max="2" width="17.88671875" customWidth="1"/>
    <col min="3" max="3" width="44.33203125" customWidth="1"/>
    <col min="4" max="4" width="5.21875" customWidth="1"/>
    <col min="5" max="5" width="26.6640625" customWidth="1"/>
    <col min="6" max="6" width="17.88671875" customWidth="1"/>
  </cols>
  <sheetData>
    <row r="1" spans="1:6">
      <c r="A1" s="43" t="s">
        <v>35</v>
      </c>
      <c r="B1" s="43"/>
      <c r="C1" s="43"/>
      <c r="D1" s="1"/>
      <c r="E1" s="43" t="s">
        <v>36</v>
      </c>
      <c r="F1" s="43"/>
    </row>
    <row r="2" spans="1:6">
      <c r="A2" s="20" t="s">
        <v>19</v>
      </c>
      <c r="B2" s="20" t="s">
        <v>20</v>
      </c>
      <c r="C2" s="20" t="s">
        <v>37</v>
      </c>
      <c r="D2" s="1"/>
      <c r="E2" s="8" t="s">
        <v>38</v>
      </c>
      <c r="F2" s="8" t="s">
        <v>39</v>
      </c>
    </row>
    <row r="3" spans="1:6">
      <c r="A3" s="1">
        <v>0</v>
      </c>
      <c r="B3" s="7" t="s">
        <v>40</v>
      </c>
      <c r="C3" s="1">
        <v>0</v>
      </c>
      <c r="D3" s="1"/>
      <c r="E3" s="18">
        <v>0</v>
      </c>
      <c r="F3" s="1">
        <v>1</v>
      </c>
    </row>
    <row r="4" spans="1:6">
      <c r="A4" s="1">
        <v>4</v>
      </c>
      <c r="B4" s="7" t="s">
        <v>41</v>
      </c>
      <c r="C4" s="1">
        <v>1</v>
      </c>
      <c r="D4" s="1"/>
      <c r="E4" s="18">
        <v>1</v>
      </c>
      <c r="F4" s="1">
        <v>0.5</v>
      </c>
    </row>
    <row r="5" spans="1:6">
      <c r="A5" s="1">
        <v>5</v>
      </c>
      <c r="B5" s="7" t="s">
        <v>42</v>
      </c>
      <c r="C5" s="1">
        <v>1.5</v>
      </c>
      <c r="D5" s="1"/>
      <c r="E5" s="18">
        <v>2</v>
      </c>
      <c r="F5" s="1">
        <v>0.25</v>
      </c>
    </row>
    <row r="6" spans="1:6">
      <c r="A6" s="1">
        <v>5.5</v>
      </c>
      <c r="B6" s="7" t="s">
        <v>43</v>
      </c>
      <c r="C6" s="1">
        <v>2</v>
      </c>
      <c r="D6" s="1"/>
      <c r="E6" s="1"/>
      <c r="F6" s="1"/>
    </row>
    <row r="7" spans="1:6">
      <c r="A7" s="1">
        <v>6.5</v>
      </c>
      <c r="B7" s="7" t="s">
        <v>44</v>
      </c>
      <c r="C7" s="12">
        <v>2.5</v>
      </c>
      <c r="D7" s="1"/>
      <c r="E7" s="1"/>
      <c r="F7" s="1"/>
    </row>
    <row r="8" spans="1:6">
      <c r="A8" s="1">
        <v>7</v>
      </c>
      <c r="B8" s="7" t="s">
        <v>45</v>
      </c>
      <c r="C8" s="1">
        <v>3</v>
      </c>
      <c r="D8" s="1"/>
      <c r="E8" s="1"/>
      <c r="F8" s="1"/>
    </row>
    <row r="9" spans="1:6">
      <c r="A9" s="1">
        <v>8</v>
      </c>
      <c r="B9" s="7" t="s">
        <v>46</v>
      </c>
      <c r="C9" s="1">
        <v>3.5</v>
      </c>
      <c r="D9" s="1"/>
      <c r="E9" s="1"/>
      <c r="F9" s="1"/>
    </row>
    <row r="10" spans="1:6">
      <c r="A10" s="1">
        <v>9</v>
      </c>
      <c r="B10" s="7" t="s">
        <v>47</v>
      </c>
      <c r="C10" s="1">
        <v>4</v>
      </c>
      <c r="D10" s="1"/>
      <c r="E10" s="1"/>
      <c r="F10" s="1"/>
    </row>
    <row r="12" spans="1:6" ht="25.5" customHeight="1">
      <c r="A12" s="44" t="s">
        <v>48</v>
      </c>
      <c r="B12" s="44"/>
      <c r="C12" s="44"/>
      <c r="D12" s="1"/>
      <c r="E12" s="44" t="s">
        <v>49</v>
      </c>
      <c r="F12" s="44"/>
    </row>
    <row r="13" spans="1:6" ht="32.25" customHeight="1">
      <c r="A13" s="21" t="s">
        <v>50</v>
      </c>
      <c r="B13" s="21" t="s">
        <v>51</v>
      </c>
      <c r="C13" s="21" t="s">
        <v>12</v>
      </c>
      <c r="D13" s="1"/>
      <c r="E13" s="21" t="s">
        <v>20</v>
      </c>
      <c r="F13" s="21" t="s">
        <v>52</v>
      </c>
    </row>
    <row r="14" spans="1:6">
      <c r="A14" s="18">
        <v>1</v>
      </c>
      <c r="B14" s="1" t="s">
        <v>53</v>
      </c>
      <c r="C14" s="1" t="s">
        <v>54</v>
      </c>
      <c r="D14" s="1"/>
      <c r="E14" s="1" t="s">
        <v>47</v>
      </c>
      <c r="F14" s="1">
        <f>COUNTIF('Tổng hợp điểm'!$K$7:$K$20, E14)</f>
        <v>0</v>
      </c>
    </row>
    <row r="15" spans="1:6">
      <c r="A15" s="18">
        <v>2</v>
      </c>
      <c r="B15" s="1" t="s">
        <v>55</v>
      </c>
      <c r="C15" s="1" t="s">
        <v>56</v>
      </c>
      <c r="D15" s="1"/>
      <c r="E15" s="1" t="s">
        <v>46</v>
      </c>
      <c r="F15" s="1">
        <f>COUNTIF('Tổng hợp điểm'!$K$7:$K$20, E15)</f>
        <v>1</v>
      </c>
    </row>
    <row r="16" spans="1:6">
      <c r="A16" s="18">
        <v>3</v>
      </c>
      <c r="B16" s="1" t="s">
        <v>57</v>
      </c>
      <c r="C16" s="1" t="s">
        <v>58</v>
      </c>
      <c r="D16" s="1"/>
      <c r="E16" s="1" t="s">
        <v>45</v>
      </c>
      <c r="F16" s="1">
        <f>COUNTIF('Tổng hợp điểm'!$K$7:$K$20, E16)</f>
        <v>2</v>
      </c>
    </row>
    <row r="17" spans="1:6">
      <c r="A17" s="18">
        <v>4</v>
      </c>
      <c r="B17" s="1" t="s">
        <v>59</v>
      </c>
      <c r="C17" s="1" t="s">
        <v>60</v>
      </c>
      <c r="D17" s="1"/>
      <c r="E17" s="1" t="s">
        <v>44</v>
      </c>
      <c r="F17" s="1">
        <f>COUNTIF('Tổng hợp điểm'!$K$7:$K$20, E17)</f>
        <v>3</v>
      </c>
    </row>
    <row r="18" spans="1:6">
      <c r="A18" s="18">
        <v>5</v>
      </c>
      <c r="B18" s="1" t="s">
        <v>61</v>
      </c>
      <c r="C18" s="1" t="s">
        <v>62</v>
      </c>
      <c r="D18" s="1"/>
      <c r="E18" s="1" t="s">
        <v>43</v>
      </c>
      <c r="F18" s="1">
        <f>COUNTIF('Tổng hợp điểm'!$K$7:$K$20, E18)</f>
        <v>5</v>
      </c>
    </row>
    <row r="19" spans="1:6">
      <c r="A19" s="18">
        <v>6</v>
      </c>
      <c r="B19" s="1" t="s">
        <v>63</v>
      </c>
      <c r="C19" s="1" t="s">
        <v>64</v>
      </c>
      <c r="D19" s="1"/>
      <c r="E19" s="1" t="s">
        <v>42</v>
      </c>
      <c r="F19" s="1">
        <f>COUNTIF('Tổng hợp điểm'!$K$7:$K$20, E19)</f>
        <v>1</v>
      </c>
    </row>
    <row r="20" spans="1:6">
      <c r="A20" s="18">
        <v>7</v>
      </c>
      <c r="B20" s="1" t="s">
        <v>65</v>
      </c>
      <c r="C20" s="1" t="s">
        <v>66</v>
      </c>
      <c r="D20" s="1"/>
      <c r="E20" s="1" t="s">
        <v>41</v>
      </c>
      <c r="F20" s="1">
        <f>COUNTIF('Tổng hợp điểm'!$K$7:$K$20, E20)</f>
        <v>0</v>
      </c>
    </row>
    <row r="21" spans="1:6">
      <c r="A21" s="18">
        <v>8</v>
      </c>
      <c r="B21" s="1" t="s">
        <v>67</v>
      </c>
      <c r="C21" s="1" t="s">
        <v>68</v>
      </c>
      <c r="D21" s="1"/>
      <c r="E21" s="1" t="s">
        <v>40</v>
      </c>
      <c r="F21" s="1">
        <f>COUNTIF('Tổng hợp điểm'!$K$7:$K$20, E21)</f>
        <v>2</v>
      </c>
    </row>
    <row r="22" spans="1:6">
      <c r="A22" s="18">
        <v>9</v>
      </c>
      <c r="B22" s="1" t="s">
        <v>69</v>
      </c>
      <c r="C22" s="1" t="s">
        <v>70</v>
      </c>
      <c r="D22" s="1"/>
      <c r="E22" s="1"/>
      <c r="F22" s="1"/>
    </row>
    <row r="23" spans="1:6">
      <c r="A23" s="18">
        <v>10</v>
      </c>
      <c r="B23" s="1" t="s">
        <v>71</v>
      </c>
      <c r="C23" s="1" t="s">
        <v>72</v>
      </c>
      <c r="D23" s="1"/>
      <c r="E23" s="45" t="s">
        <v>73</v>
      </c>
      <c r="F23" s="46"/>
    </row>
    <row r="24" spans="1:6">
      <c r="A24" s="18">
        <v>11</v>
      </c>
      <c r="B24" s="1" t="s">
        <v>74</v>
      </c>
      <c r="C24" s="1" t="s">
        <v>75</v>
      </c>
      <c r="D24" s="1"/>
      <c r="E24" s="37" t="s">
        <v>76</v>
      </c>
      <c r="F24" s="40">
        <f>COUNTIF('Tổng hợp điểm'!$G$7:$G$20, 0) + COUNTIF('Tổng hợp điểm'!$H$7:$H$20, -3)</f>
        <v>3</v>
      </c>
    </row>
    <row r="25" spans="1:6">
      <c r="A25" s="18">
        <v>12</v>
      </c>
      <c r="B25" s="1" t="s">
        <v>77</v>
      </c>
      <c r="C25" s="1" t="s">
        <v>78</v>
      </c>
      <c r="D25" s="1"/>
      <c r="E25" s="38"/>
      <c r="F25" s="41"/>
    </row>
    <row r="26" spans="1:6">
      <c r="A26" s="18">
        <v>13</v>
      </c>
      <c r="B26" s="1" t="s">
        <v>79</v>
      </c>
      <c r="C26" s="1" t="s">
        <v>80</v>
      </c>
      <c r="D26" s="1"/>
      <c r="E26" s="39"/>
      <c r="F26" s="42"/>
    </row>
    <row r="27" spans="1:6" ht="17.25">
      <c r="A27" s="18">
        <v>14</v>
      </c>
      <c r="B27" s="1" t="s">
        <v>81</v>
      </c>
      <c r="C27" s="1" t="s">
        <v>82</v>
      </c>
      <c r="D27" s="1"/>
      <c r="E27" s="27" t="s">
        <v>83</v>
      </c>
      <c r="F27" s="28" cm="1">
        <f t="array" ref="F27">SUMPRODUCT(--(VALUE(LEFT('Tổng hợp điểm'!$B$7:$B$20, 1)) &gt; 2))</f>
        <v>2</v>
      </c>
    </row>
    <row r="28" spans="1:6" ht="51">
      <c r="E28" s="26" t="s">
        <v>84</v>
      </c>
      <c r="F28" s="56" cm="1">
        <f t="array" ref="F28">SUMPRODUCT(('Tổng hợp điểm'!$J$7:$J$20&gt;=7) * (('Tổng hợp điểm'!$K$7:$K$20="B+") + ('Tổng hợp điểm'!$K$7:$K$20="A")))</f>
        <v>1</v>
      </c>
    </row>
  </sheetData>
  <mergeCells count="7">
    <mergeCell ref="E24:E26"/>
    <mergeCell ref="F24:F26"/>
    <mergeCell ref="A1:C1"/>
    <mergeCell ref="E1:F1"/>
    <mergeCell ref="A12:C12"/>
    <mergeCell ref="E12:F12"/>
    <mergeCell ref="E23:F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workbookViewId="0">
      <selection activeCell="G16" sqref="G16"/>
    </sheetView>
  </sheetViews>
  <sheetFormatPr defaultRowHeight="16.5"/>
  <sheetData>
    <row r="1" spans="1:7">
      <c r="A1" s="48" t="s">
        <v>85</v>
      </c>
      <c r="B1" s="49"/>
      <c r="C1" s="49"/>
      <c r="D1" s="49"/>
      <c r="E1" s="49"/>
      <c r="F1" s="49"/>
      <c r="G1" s="49"/>
    </row>
    <row r="2" spans="1:7">
      <c r="A2" s="23" t="s">
        <v>86</v>
      </c>
      <c r="B2" s="23" t="s">
        <v>87</v>
      </c>
      <c r="C2" s="50" t="s">
        <v>88</v>
      </c>
      <c r="D2" s="50"/>
      <c r="E2" s="23" t="s">
        <v>13</v>
      </c>
      <c r="F2" s="23" t="s">
        <v>14</v>
      </c>
      <c r="G2" s="23" t="s">
        <v>15</v>
      </c>
    </row>
    <row r="3" spans="1:7">
      <c r="A3" s="22">
        <v>1</v>
      </c>
      <c r="B3" s="10" t="s">
        <v>77</v>
      </c>
      <c r="C3" s="47" t="s">
        <v>78</v>
      </c>
      <c r="D3" s="47"/>
      <c r="E3" s="22">
        <v>0.45</v>
      </c>
      <c r="F3" s="22">
        <v>0.25</v>
      </c>
      <c r="G3" s="22">
        <v>0.3</v>
      </c>
    </row>
    <row r="4" spans="1:7">
      <c r="A4" s="22">
        <v>2</v>
      </c>
      <c r="B4" s="10" t="s">
        <v>63</v>
      </c>
      <c r="C4" s="47" t="s">
        <v>64</v>
      </c>
      <c r="D4" s="47"/>
      <c r="E4" s="22">
        <v>0.5</v>
      </c>
      <c r="F4" s="22">
        <v>0.35</v>
      </c>
      <c r="G4" s="22">
        <v>0.4</v>
      </c>
    </row>
    <row r="5" spans="1:7">
      <c r="A5" s="22">
        <v>3</v>
      </c>
      <c r="B5" s="10" t="s">
        <v>71</v>
      </c>
      <c r="C5" s="47" t="s">
        <v>72</v>
      </c>
      <c r="D5" s="47"/>
      <c r="E5" s="22">
        <v>0.25</v>
      </c>
      <c r="F5" s="22">
        <v>0.25</v>
      </c>
      <c r="G5" s="22">
        <v>0.3</v>
      </c>
    </row>
    <row r="6" spans="1:7">
      <c r="A6" s="22">
        <v>4</v>
      </c>
      <c r="B6" s="10" t="s">
        <v>53</v>
      </c>
      <c r="C6" s="47" t="s">
        <v>54</v>
      </c>
      <c r="D6" s="47"/>
      <c r="E6" s="22">
        <v>0.4</v>
      </c>
      <c r="F6" s="22">
        <v>0.25</v>
      </c>
      <c r="G6" s="22">
        <v>0.35</v>
      </c>
    </row>
    <row r="7" spans="1:7">
      <c r="A7" s="22">
        <v>5</v>
      </c>
      <c r="B7" s="10" t="s">
        <v>61</v>
      </c>
      <c r="C7" s="47">
        <f>VLOOKUP(RIGHT(B7, 8), 'Điểm thực hành các buổi'!$B$3:$E$16, 4, 0)</f>
        <v>0.45</v>
      </c>
      <c r="D7" s="47"/>
      <c r="E7" s="22">
        <v>0.45</v>
      </c>
      <c r="F7" s="22">
        <v>0.4</v>
      </c>
      <c r="G7" s="22">
        <v>0.35</v>
      </c>
    </row>
    <row r="8" spans="1:7">
      <c r="A8" s="22">
        <v>6</v>
      </c>
      <c r="B8" s="10" t="s">
        <v>79</v>
      </c>
      <c r="C8" s="47" t="s">
        <v>80</v>
      </c>
      <c r="D8" s="47"/>
      <c r="E8" s="22">
        <v>0.4</v>
      </c>
      <c r="F8" s="22">
        <v>0.45</v>
      </c>
      <c r="G8" s="22">
        <v>0.5</v>
      </c>
    </row>
    <row r="9" spans="1:7">
      <c r="A9" s="22">
        <v>7</v>
      </c>
      <c r="B9" s="10" t="s">
        <v>59</v>
      </c>
      <c r="C9" s="47" t="s">
        <v>89</v>
      </c>
      <c r="D9" s="47"/>
      <c r="E9" s="22">
        <v>0.4</v>
      </c>
      <c r="F9" s="22">
        <v>0.4</v>
      </c>
      <c r="G9" s="22">
        <v>0.4</v>
      </c>
    </row>
    <row r="10" spans="1:7">
      <c r="A10" s="22">
        <v>8</v>
      </c>
      <c r="B10" s="10" t="s">
        <v>55</v>
      </c>
      <c r="C10" s="47" t="s">
        <v>56</v>
      </c>
      <c r="D10" s="47"/>
      <c r="E10" s="22">
        <v>0.45</v>
      </c>
      <c r="F10" s="22">
        <v>0.4</v>
      </c>
      <c r="G10" s="22">
        <v>0.45</v>
      </c>
    </row>
    <row r="11" spans="1:7">
      <c r="A11" s="22">
        <v>9</v>
      </c>
      <c r="B11" s="10" t="s">
        <v>57</v>
      </c>
      <c r="C11" s="47" t="s">
        <v>90</v>
      </c>
      <c r="D11" s="47"/>
      <c r="E11" s="22">
        <v>0.45</v>
      </c>
      <c r="F11" s="22">
        <v>0.4</v>
      </c>
      <c r="G11" s="22">
        <v>0.4</v>
      </c>
    </row>
    <row r="12" spans="1:7">
      <c r="A12" s="22">
        <v>10</v>
      </c>
      <c r="B12" s="10" t="s">
        <v>74</v>
      </c>
      <c r="C12" s="47" t="s">
        <v>75</v>
      </c>
      <c r="D12" s="47"/>
      <c r="E12" s="22">
        <v>0.3</v>
      </c>
      <c r="F12" s="22">
        <v>0.5</v>
      </c>
      <c r="G12" s="22">
        <v>0.45</v>
      </c>
    </row>
    <row r="13" spans="1:7">
      <c r="A13" s="22">
        <v>11</v>
      </c>
      <c r="B13" s="10" t="s">
        <v>65</v>
      </c>
      <c r="C13" s="47" t="s">
        <v>66</v>
      </c>
      <c r="D13" s="47"/>
      <c r="E13" s="22">
        <v>0.4</v>
      </c>
      <c r="F13" s="22">
        <v>0.45</v>
      </c>
      <c r="G13" s="22">
        <v>0.4</v>
      </c>
    </row>
    <row r="14" spans="1:7">
      <c r="A14" s="22">
        <v>12</v>
      </c>
      <c r="B14" s="10" t="s">
        <v>69</v>
      </c>
      <c r="C14" s="47" t="s">
        <v>91</v>
      </c>
      <c r="D14" s="47"/>
      <c r="E14" s="22">
        <v>0.5</v>
      </c>
      <c r="F14" s="22">
        <v>0.5</v>
      </c>
      <c r="G14" s="22">
        <v>0.45</v>
      </c>
    </row>
    <row r="15" spans="1:7">
      <c r="A15" s="22">
        <v>13</v>
      </c>
      <c r="B15" s="10" t="s">
        <v>81</v>
      </c>
      <c r="C15" s="47" t="s">
        <v>82</v>
      </c>
      <c r="D15" s="47"/>
      <c r="E15" s="22">
        <v>0.4</v>
      </c>
      <c r="F15" s="22">
        <v>0.4</v>
      </c>
      <c r="G15" s="22">
        <v>0.35</v>
      </c>
    </row>
    <row r="16" spans="1:7">
      <c r="A16" s="22">
        <v>14</v>
      </c>
      <c r="B16" s="10" t="s">
        <v>67</v>
      </c>
      <c r="C16" s="47" t="s">
        <v>68</v>
      </c>
      <c r="D16" s="47"/>
      <c r="E16" s="22">
        <v>0.35</v>
      </c>
      <c r="F16" s="22">
        <v>0.4</v>
      </c>
      <c r="G16" s="22">
        <v>0</v>
      </c>
    </row>
  </sheetData>
  <mergeCells count="16">
    <mergeCell ref="C6:D6"/>
    <mergeCell ref="A1:G1"/>
    <mergeCell ref="C2:D2"/>
    <mergeCell ref="C3:D3"/>
    <mergeCell ref="C4:D4"/>
    <mergeCell ref="C5:D5"/>
    <mergeCell ref="C13:D13"/>
    <mergeCell ref="C14:D14"/>
    <mergeCell ref="C15:D15"/>
    <mergeCell ref="C16:D16"/>
    <mergeCell ref="C7:D7"/>
    <mergeCell ref="C8:D8"/>
    <mergeCell ref="C9:D9"/>
    <mergeCell ref="C10:D10"/>
    <mergeCell ref="C11:D11"/>
    <mergeCell ref="C12:D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>
      <selection activeCell="E17" sqref="E17"/>
    </sheetView>
  </sheetViews>
  <sheetFormatPr defaultRowHeight="16.5"/>
  <sheetData>
    <row r="1" spans="1:6">
      <c r="A1" s="51" t="s">
        <v>92</v>
      </c>
      <c r="B1" s="52"/>
      <c r="C1" s="52"/>
      <c r="D1" s="52"/>
      <c r="E1" s="52"/>
      <c r="F1" s="53"/>
    </row>
    <row r="2" spans="1:6">
      <c r="A2" s="24" t="s">
        <v>86</v>
      </c>
      <c r="B2" s="24" t="s">
        <v>51</v>
      </c>
      <c r="C2" s="54" t="s">
        <v>12</v>
      </c>
      <c r="D2" s="54"/>
      <c r="E2" s="54" t="s">
        <v>92</v>
      </c>
      <c r="F2" s="54"/>
    </row>
    <row r="3" spans="1:6">
      <c r="A3" s="18">
        <v>1</v>
      </c>
      <c r="B3" s="18" t="s">
        <v>77</v>
      </c>
      <c r="C3" s="35" t="s">
        <v>78</v>
      </c>
      <c r="D3" s="35"/>
      <c r="E3" s="35">
        <v>4.2</v>
      </c>
      <c r="F3" s="35"/>
    </row>
    <row r="4" spans="1:6">
      <c r="A4" s="18">
        <v>2</v>
      </c>
      <c r="B4" s="18" t="s">
        <v>63</v>
      </c>
      <c r="C4" s="35" t="s">
        <v>64</v>
      </c>
      <c r="D4" s="35"/>
      <c r="E4" s="35">
        <v>5.8</v>
      </c>
      <c r="F4" s="35"/>
    </row>
    <row r="5" spans="1:6">
      <c r="A5" s="18">
        <v>3</v>
      </c>
      <c r="B5" s="18" t="s">
        <v>71</v>
      </c>
      <c r="C5" s="35" t="s">
        <v>72</v>
      </c>
      <c r="D5" s="35"/>
      <c r="E5" s="35">
        <v>5.8</v>
      </c>
      <c r="F5" s="35"/>
    </row>
    <row r="6" spans="1:6">
      <c r="A6" s="18">
        <v>4</v>
      </c>
      <c r="B6" s="18" t="s">
        <v>53</v>
      </c>
      <c r="C6" s="35" t="s">
        <v>54</v>
      </c>
      <c r="D6" s="35"/>
      <c r="E6" s="35">
        <v>4.5</v>
      </c>
      <c r="F6" s="35"/>
    </row>
    <row r="7" spans="1:6">
      <c r="A7" s="18">
        <v>5</v>
      </c>
      <c r="B7" s="18" t="s">
        <v>61</v>
      </c>
      <c r="C7" s="35" t="s">
        <v>93</v>
      </c>
      <c r="D7" s="35"/>
      <c r="E7" s="35">
        <v>5.5</v>
      </c>
      <c r="F7" s="35"/>
    </row>
    <row r="8" spans="1:6">
      <c r="A8" s="18">
        <v>6</v>
      </c>
      <c r="B8" s="18" t="s">
        <v>79</v>
      </c>
      <c r="C8" s="35" t="s">
        <v>80</v>
      </c>
      <c r="D8" s="35"/>
      <c r="E8" s="35">
        <v>7.5</v>
      </c>
      <c r="F8" s="35"/>
    </row>
    <row r="9" spans="1:6">
      <c r="A9" s="18">
        <v>7</v>
      </c>
      <c r="B9" s="18" t="s">
        <v>59</v>
      </c>
      <c r="C9" s="35" t="s">
        <v>94</v>
      </c>
      <c r="D9" s="35"/>
      <c r="E9" s="35">
        <v>5.3</v>
      </c>
      <c r="F9" s="35"/>
    </row>
    <row r="10" spans="1:6">
      <c r="A10" s="18">
        <v>8</v>
      </c>
      <c r="B10" s="18" t="s">
        <v>55</v>
      </c>
      <c r="C10" s="35" t="s">
        <v>56</v>
      </c>
      <c r="D10" s="35"/>
      <c r="E10" s="35">
        <v>6.8</v>
      </c>
      <c r="F10" s="35"/>
    </row>
    <row r="11" spans="1:6">
      <c r="A11" s="18">
        <v>9</v>
      </c>
      <c r="B11" s="18" t="s">
        <v>57</v>
      </c>
      <c r="C11" s="35" t="s">
        <v>58</v>
      </c>
      <c r="D11" s="35"/>
      <c r="E11" s="35">
        <v>6.3</v>
      </c>
      <c r="F11" s="35"/>
    </row>
    <row r="12" spans="1:6">
      <c r="A12" s="18">
        <v>10</v>
      </c>
      <c r="B12" s="18" t="s">
        <v>74</v>
      </c>
      <c r="C12" s="35" t="s">
        <v>75</v>
      </c>
      <c r="D12" s="35"/>
      <c r="E12" s="35">
        <v>8.3000000000000007</v>
      </c>
      <c r="F12" s="35"/>
    </row>
    <row r="13" spans="1:6">
      <c r="A13" s="18">
        <v>11</v>
      </c>
      <c r="B13" s="18" t="s">
        <v>65</v>
      </c>
      <c r="C13" s="35" t="s">
        <v>66</v>
      </c>
      <c r="D13" s="35"/>
      <c r="E13" s="35">
        <v>-3</v>
      </c>
      <c r="F13" s="35"/>
    </row>
    <row r="14" spans="1:6">
      <c r="A14" s="18">
        <v>12</v>
      </c>
      <c r="B14" s="18" t="s">
        <v>69</v>
      </c>
      <c r="C14" s="35" t="s">
        <v>70</v>
      </c>
      <c r="D14" s="35"/>
      <c r="E14" s="35">
        <v>7</v>
      </c>
      <c r="F14" s="35"/>
    </row>
    <row r="15" spans="1:6">
      <c r="A15" s="18">
        <v>13</v>
      </c>
      <c r="B15" s="18" t="s">
        <v>81</v>
      </c>
      <c r="C15" s="35" t="s">
        <v>82</v>
      </c>
      <c r="D15" s="35"/>
      <c r="E15" s="35">
        <v>-3</v>
      </c>
      <c r="F15" s="35"/>
    </row>
    <row r="16" spans="1:6">
      <c r="A16" s="18">
        <v>14</v>
      </c>
      <c r="B16" s="18" t="s">
        <v>67</v>
      </c>
      <c r="C16" s="35" t="s">
        <v>95</v>
      </c>
      <c r="D16" s="35"/>
      <c r="E16" s="35">
        <v>6.5</v>
      </c>
      <c r="F16" s="35"/>
    </row>
  </sheetData>
  <mergeCells count="31">
    <mergeCell ref="C4:D4"/>
    <mergeCell ref="E4:F4"/>
    <mergeCell ref="A1:F1"/>
    <mergeCell ref="C2:D2"/>
    <mergeCell ref="E2:F2"/>
    <mergeCell ref="C3:D3"/>
    <mergeCell ref="E3:F3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6"/>
  <sheetViews>
    <sheetView workbookViewId="0">
      <selection activeCell="B3" sqref="B3"/>
    </sheetView>
  </sheetViews>
  <sheetFormatPr defaultRowHeight="16.5"/>
  <cols>
    <col min="1" max="1" width="6.5546875" customWidth="1"/>
    <col min="2" max="2" width="17.88671875" customWidth="1"/>
    <col min="3" max="3" width="26.88671875" customWidth="1"/>
    <col min="4" max="4" width="18" customWidth="1"/>
  </cols>
  <sheetData>
    <row r="1" spans="1:4">
      <c r="A1" s="55" t="s">
        <v>96</v>
      </c>
      <c r="B1" s="55"/>
      <c r="C1" s="55"/>
      <c r="D1" s="55"/>
    </row>
    <row r="2" spans="1:4">
      <c r="A2" s="25" t="s">
        <v>50</v>
      </c>
      <c r="B2" s="11" t="s">
        <v>51</v>
      </c>
      <c r="C2" s="11" t="s">
        <v>12</v>
      </c>
      <c r="D2" s="11" t="s">
        <v>97</v>
      </c>
    </row>
    <row r="3" spans="1:4">
      <c r="A3" s="19">
        <v>1</v>
      </c>
      <c r="B3" s="19" t="s">
        <v>77</v>
      </c>
      <c r="C3" s="19" t="s">
        <v>78</v>
      </c>
      <c r="D3" s="19">
        <v>0.5</v>
      </c>
    </row>
    <row r="4" spans="1:4">
      <c r="A4" s="19">
        <v>2</v>
      </c>
      <c r="B4" s="19" t="s">
        <v>63</v>
      </c>
      <c r="C4" s="9" t="s">
        <v>64</v>
      </c>
      <c r="D4" s="19">
        <v>1</v>
      </c>
    </row>
    <row r="5" spans="1:4">
      <c r="A5" s="19">
        <v>3</v>
      </c>
      <c r="B5" s="19" t="s">
        <v>71</v>
      </c>
      <c r="C5" s="9" t="s">
        <v>72</v>
      </c>
      <c r="D5" s="19">
        <v>0.5</v>
      </c>
    </row>
    <row r="6" spans="1:4">
      <c r="A6" s="19">
        <v>4</v>
      </c>
      <c r="B6" s="19" t="s">
        <v>53</v>
      </c>
      <c r="C6" s="9" t="s">
        <v>54</v>
      </c>
      <c r="D6" s="19">
        <v>1</v>
      </c>
    </row>
    <row r="7" spans="1:4">
      <c r="A7" s="19">
        <v>5</v>
      </c>
      <c r="B7" s="19" t="s">
        <v>61</v>
      </c>
      <c r="C7" s="9" t="s">
        <v>93</v>
      </c>
      <c r="D7" s="19">
        <v>1.75</v>
      </c>
    </row>
    <row r="8" spans="1:4">
      <c r="A8" s="19">
        <v>6</v>
      </c>
      <c r="B8" s="19" t="s">
        <v>79</v>
      </c>
      <c r="C8" s="9" t="s">
        <v>80</v>
      </c>
      <c r="D8" s="19">
        <v>1.2</v>
      </c>
    </row>
    <row r="9" spans="1:4">
      <c r="A9" s="19">
        <v>7</v>
      </c>
      <c r="B9" s="19" t="s">
        <v>59</v>
      </c>
      <c r="C9" s="9" t="s">
        <v>60</v>
      </c>
      <c r="D9" s="19">
        <v>1</v>
      </c>
    </row>
    <row r="10" spans="1:4">
      <c r="A10" s="19">
        <v>8</v>
      </c>
      <c r="B10" s="19" t="s">
        <v>55</v>
      </c>
      <c r="C10" s="9" t="s">
        <v>56</v>
      </c>
      <c r="D10" s="19">
        <v>0</v>
      </c>
    </row>
    <row r="11" spans="1:4">
      <c r="A11" s="19">
        <v>9</v>
      </c>
      <c r="B11" s="9" t="s">
        <v>57</v>
      </c>
      <c r="C11" s="9" t="s">
        <v>58</v>
      </c>
      <c r="D11" s="9">
        <v>0.75</v>
      </c>
    </row>
    <row r="12" spans="1:4">
      <c r="A12" s="19">
        <v>10</v>
      </c>
      <c r="B12" s="19" t="s">
        <v>74</v>
      </c>
      <c r="C12" s="9" t="s">
        <v>75</v>
      </c>
      <c r="D12" s="19">
        <v>0.3</v>
      </c>
    </row>
    <row r="13" spans="1:4">
      <c r="A13" s="19">
        <v>11</v>
      </c>
      <c r="B13" s="19" t="s">
        <v>65</v>
      </c>
      <c r="C13" s="9" t="s">
        <v>66</v>
      </c>
      <c r="D13" s="19">
        <v>0.3</v>
      </c>
    </row>
    <row r="14" spans="1:4">
      <c r="A14" s="19">
        <v>12</v>
      </c>
      <c r="B14" s="19" t="s">
        <v>69</v>
      </c>
      <c r="C14" s="9" t="s">
        <v>70</v>
      </c>
      <c r="D14" s="19">
        <v>1.5</v>
      </c>
    </row>
    <row r="15" spans="1:4">
      <c r="A15" s="19">
        <v>13</v>
      </c>
      <c r="B15" s="19" t="s">
        <v>81</v>
      </c>
      <c r="C15" s="9" t="s">
        <v>82</v>
      </c>
      <c r="D15" s="19">
        <v>1.35</v>
      </c>
    </row>
    <row r="16" spans="1:4">
      <c r="A16" s="19">
        <v>14</v>
      </c>
      <c r="B16" s="19" t="s">
        <v>67</v>
      </c>
      <c r="C16" s="9" t="s">
        <v>68</v>
      </c>
      <c r="D16" s="19">
        <v>0.85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5BABC-7E39-4345-91DE-7AF2DC19AD62}">
  <dimension ref="A1:J12"/>
  <sheetViews>
    <sheetView topLeftCell="B1" workbookViewId="0">
      <selection sqref="A1:J1"/>
    </sheetView>
  </sheetViews>
  <sheetFormatPr defaultRowHeight="16.5"/>
  <cols>
    <col min="1" max="1" width="17.5546875" customWidth="1"/>
    <col min="2" max="2" width="26.88671875" customWidth="1"/>
    <col min="4" max="4" width="9.44140625" customWidth="1"/>
  </cols>
  <sheetData>
    <row r="1" spans="1:10" ht="67.5">
      <c r="A1" s="5" t="s">
        <v>11</v>
      </c>
      <c r="B1" s="5" t="s">
        <v>12</v>
      </c>
      <c r="C1" s="5" t="s">
        <v>13</v>
      </c>
      <c r="D1" s="6" t="s">
        <v>14</v>
      </c>
      <c r="E1" s="5" t="s">
        <v>15</v>
      </c>
      <c r="F1" s="4" t="s">
        <v>16</v>
      </c>
      <c r="G1" s="5" t="s">
        <v>17</v>
      </c>
      <c r="H1" s="5" t="s">
        <v>18</v>
      </c>
      <c r="I1" s="4" t="s">
        <v>19</v>
      </c>
      <c r="J1" s="5" t="s">
        <v>20</v>
      </c>
    </row>
    <row r="2" spans="1:10">
      <c r="A2" s="17" t="str" cm="1">
        <f t="array" ref="A2:J12">_xlfn._xlws.FILTER('Tổng hợp điểm'!B7:K20, 'Tổng hợp điểm'!J7:J20 &lt; 7)</f>
        <v>0B1505719</v>
      </c>
      <c r="B2" s="17" t="str">
        <v>Nguyễn Văn Hiếu</v>
      </c>
      <c r="C2" s="17">
        <v>0.45</v>
      </c>
      <c r="D2" s="17">
        <v>0.25</v>
      </c>
      <c r="E2" s="17">
        <v>0.3</v>
      </c>
      <c r="F2" s="17">
        <v>0.5</v>
      </c>
      <c r="G2" s="17">
        <v>4.2</v>
      </c>
      <c r="H2" s="17">
        <v>4.0199999999999996</v>
      </c>
      <c r="I2" s="17">
        <v>5.0199999999999996</v>
      </c>
      <c r="J2" s="17" t="str">
        <v>D+</v>
      </c>
    </row>
    <row r="3" spans="1:10">
      <c r="A3" s="17" t="str">
        <v>1B1505915</v>
      </c>
      <c r="B3" s="17" t="str">
        <v>Lý Minh Trí</v>
      </c>
      <c r="C3" s="17">
        <v>0.5</v>
      </c>
      <c r="D3" s="17">
        <v>0.35</v>
      </c>
      <c r="E3" s="17">
        <v>0.4</v>
      </c>
      <c r="F3" s="17">
        <v>1</v>
      </c>
      <c r="G3" s="17">
        <v>5.8</v>
      </c>
      <c r="H3" s="17">
        <v>5.73</v>
      </c>
      <c r="I3" s="17">
        <v>6.23</v>
      </c>
      <c r="J3" s="17" t="str">
        <v>C</v>
      </c>
    </row>
    <row r="4" spans="1:10">
      <c r="A4" s="17" t="str">
        <v>0B1509874</v>
      </c>
      <c r="B4" s="17" t="str">
        <v>Nguyễn Kiều Mi</v>
      </c>
      <c r="C4" s="17">
        <v>0.25</v>
      </c>
      <c r="D4" s="17">
        <v>0.25</v>
      </c>
      <c r="E4" s="17">
        <v>0.3</v>
      </c>
      <c r="F4" s="17">
        <v>0.5</v>
      </c>
      <c r="G4" s="17">
        <v>5.8</v>
      </c>
      <c r="H4" s="17">
        <v>4.78</v>
      </c>
      <c r="I4" s="17">
        <v>5.78</v>
      </c>
      <c r="J4" s="17" t="str">
        <v>C</v>
      </c>
    </row>
    <row r="5" spans="1:10">
      <c r="A5" s="17" t="str">
        <v>0B1509929</v>
      </c>
      <c r="B5" s="17" t="str">
        <v>Đặng Duy Linh</v>
      </c>
      <c r="C5" s="17">
        <v>0.4</v>
      </c>
      <c r="D5" s="17">
        <v>0.25</v>
      </c>
      <c r="E5" s="17">
        <v>0.35</v>
      </c>
      <c r="F5" s="17">
        <v>1</v>
      </c>
      <c r="G5" s="17">
        <v>4.5</v>
      </c>
      <c r="H5" s="17">
        <v>4.6999999999999993</v>
      </c>
      <c r="I5" s="17">
        <v>5.6999999999999993</v>
      </c>
      <c r="J5" s="17" t="str">
        <v>C</v>
      </c>
    </row>
    <row r="6" spans="1:10">
      <c r="A6" s="17" t="str">
        <v>2B1605223</v>
      </c>
      <c r="B6" s="17" t="str">
        <v>Le Thị Trúc Linh</v>
      </c>
      <c r="C6" s="17">
        <v>0.45</v>
      </c>
      <c r="D6" s="17">
        <v>0.4</v>
      </c>
      <c r="E6" s="17">
        <v>0.35</v>
      </c>
      <c r="F6" s="17">
        <v>1.75</v>
      </c>
      <c r="G6" s="17">
        <v>5.5</v>
      </c>
      <c r="H6" s="17">
        <v>6.25</v>
      </c>
      <c r="I6" s="17">
        <v>6.5</v>
      </c>
      <c r="J6" s="17" t="str">
        <v>C+</v>
      </c>
    </row>
    <row r="7" spans="1:10">
      <c r="A7" s="17" t="str">
        <v>0B1605249</v>
      </c>
      <c r="B7" s="17" t="str">
        <v>Lê Minh Thông</v>
      </c>
      <c r="C7" s="17">
        <v>0.4</v>
      </c>
      <c r="D7" s="17">
        <v>0.4</v>
      </c>
      <c r="E7" s="17">
        <v>0.4</v>
      </c>
      <c r="F7" s="17">
        <v>1</v>
      </c>
      <c r="G7" s="17">
        <v>5.3</v>
      </c>
      <c r="H7" s="17">
        <v>5.38</v>
      </c>
      <c r="I7" s="17">
        <v>6.38</v>
      </c>
      <c r="J7" s="17" t="str">
        <v>C</v>
      </c>
    </row>
    <row r="8" spans="1:10">
      <c r="A8" s="17" t="str">
        <v>0B1605285</v>
      </c>
      <c r="B8" s="17" t="str">
        <v>Huỳnh Thị Diễm</v>
      </c>
      <c r="C8" s="17">
        <v>0.45</v>
      </c>
      <c r="D8" s="17">
        <v>0.4</v>
      </c>
      <c r="E8" s="17">
        <v>0.45</v>
      </c>
      <c r="F8" s="17">
        <v>0</v>
      </c>
      <c r="G8" s="17">
        <v>6.8</v>
      </c>
      <c r="H8" s="17">
        <v>5.38</v>
      </c>
      <c r="I8" s="17">
        <v>6.38</v>
      </c>
      <c r="J8" s="17" t="str">
        <v>C</v>
      </c>
    </row>
    <row r="9" spans="1:10">
      <c r="A9" s="17" t="str">
        <v>0B1605291</v>
      </c>
      <c r="B9" s="17" t="str">
        <v>Trần Thanh Nguyên</v>
      </c>
      <c r="C9" s="17">
        <v>0.45</v>
      </c>
      <c r="D9" s="17">
        <v>0.4</v>
      </c>
      <c r="E9" s="17">
        <v>0.4</v>
      </c>
      <c r="F9" s="17">
        <v>0.75</v>
      </c>
      <c r="G9" s="17">
        <v>6.3</v>
      </c>
      <c r="H9" s="17">
        <v>5.7799999999999994</v>
      </c>
      <c r="I9" s="17">
        <v>6.7799999999999994</v>
      </c>
      <c r="J9" s="17" t="str">
        <v>C+</v>
      </c>
    </row>
    <row r="10" spans="1:10">
      <c r="A10" s="17" t="str">
        <v>4B1607025</v>
      </c>
      <c r="B10" s="17" t="str">
        <v>Nguyễn Chí Thanh</v>
      </c>
      <c r="C10" s="17">
        <v>0.4</v>
      </c>
      <c r="D10" s="17">
        <v>0.45</v>
      </c>
      <c r="E10" s="17">
        <v>0.4</v>
      </c>
      <c r="F10" s="17">
        <v>0.3</v>
      </c>
      <c r="G10" s="17">
        <v>-3</v>
      </c>
      <c r="H10" s="17">
        <v>0</v>
      </c>
      <c r="I10" s="17">
        <v>0</v>
      </c>
      <c r="J10" s="17" t="str">
        <v>F</v>
      </c>
    </row>
    <row r="11" spans="1:10">
      <c r="A11" s="17" t="str">
        <v>5B1609765</v>
      </c>
      <c r="B11" s="17" t="str">
        <v>Trần Nam Dương</v>
      </c>
      <c r="C11" s="17">
        <v>0.4</v>
      </c>
      <c r="D11" s="17">
        <v>0.4</v>
      </c>
      <c r="E11" s="17">
        <v>0.35</v>
      </c>
      <c r="F11" s="17">
        <v>1.35</v>
      </c>
      <c r="G11" s="17">
        <v>-3</v>
      </c>
      <c r="H11" s="17">
        <v>0</v>
      </c>
      <c r="I11" s="17">
        <v>0</v>
      </c>
      <c r="J11" s="17" t="str">
        <v>F</v>
      </c>
    </row>
    <row r="12" spans="1:10">
      <c r="A12" s="17" t="str">
        <v>0B1609773</v>
      </c>
      <c r="B12" s="17" t="str">
        <v>Nguyễn Duy Khanh</v>
      </c>
      <c r="C12" s="17">
        <v>0.35</v>
      </c>
      <c r="D12" s="17">
        <v>0.4</v>
      </c>
      <c r="E12" s="17">
        <v>0</v>
      </c>
      <c r="F12" s="17">
        <v>0.85</v>
      </c>
      <c r="G12" s="17">
        <v>6.5</v>
      </c>
      <c r="H12" s="17">
        <v>5.5</v>
      </c>
      <c r="I12" s="17">
        <v>6.5</v>
      </c>
      <c r="J12" s="17" t="str">
        <v>C+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76CF8-33BF-4F05-9017-7430C83D8FFE}">
  <dimension ref="A1:J4"/>
  <sheetViews>
    <sheetView workbookViewId="0">
      <selection activeCell="A2" sqref="A2:J4"/>
    </sheetView>
  </sheetViews>
  <sheetFormatPr defaultRowHeight="16.5"/>
  <cols>
    <col min="1" max="1" width="18" customWidth="1"/>
    <col min="2" max="2" width="26.6640625" customWidth="1"/>
  </cols>
  <sheetData>
    <row r="1" spans="1:10" ht="67.5">
      <c r="A1" s="29" t="s">
        <v>11</v>
      </c>
      <c r="B1" s="29" t="s">
        <v>12</v>
      </c>
      <c r="C1" s="29" t="s">
        <v>13</v>
      </c>
      <c r="D1" s="30" t="s">
        <v>14</v>
      </c>
      <c r="E1" s="29" t="s">
        <v>15</v>
      </c>
      <c r="F1" s="31" t="s">
        <v>16</v>
      </c>
      <c r="G1" s="29" t="s">
        <v>17</v>
      </c>
      <c r="H1" s="29" t="s">
        <v>18</v>
      </c>
      <c r="I1" s="31" t="s">
        <v>19</v>
      </c>
      <c r="J1" s="29" t="s">
        <v>20</v>
      </c>
    </row>
    <row r="2" spans="1:10">
      <c r="A2" s="17" t="str" cm="1">
        <f t="array" ref="A2:J4">_xlfn._xlws.FILTER('Tổng hợp điểm'!B7:K20, 'Tổng hợp điểm'!J7:J20 &gt;= 7)</f>
        <v>0B1605235</v>
      </c>
      <c r="B2" s="17" t="str">
        <v>Phạm Thị Huỳnh</v>
      </c>
      <c r="C2" s="17">
        <v>0.4</v>
      </c>
      <c r="D2" s="17">
        <v>0.45</v>
      </c>
      <c r="E2" s="17">
        <v>0.5</v>
      </c>
      <c r="F2" s="17">
        <v>1.2</v>
      </c>
      <c r="G2" s="17">
        <v>7.5</v>
      </c>
      <c r="H2" s="17">
        <v>7.05</v>
      </c>
      <c r="I2" s="17">
        <v>8.0500000000000007</v>
      </c>
      <c r="J2" s="17" t="str">
        <v>B+</v>
      </c>
    </row>
    <row r="3" spans="1:10">
      <c r="A3" s="17" t="str">
        <v>1B1605344</v>
      </c>
      <c r="B3" s="17" t="str">
        <v>Nguyễn Thị Đào</v>
      </c>
      <c r="C3" s="17">
        <v>0.3</v>
      </c>
      <c r="D3" s="17">
        <v>0.5</v>
      </c>
      <c r="E3" s="17">
        <v>0.45</v>
      </c>
      <c r="F3" s="17">
        <v>0.3</v>
      </c>
      <c r="G3" s="17">
        <v>8.3000000000000007</v>
      </c>
      <c r="H3" s="17">
        <v>6.53</v>
      </c>
      <c r="I3" s="17">
        <v>7.03</v>
      </c>
      <c r="J3" s="17" t="str">
        <v>B</v>
      </c>
    </row>
    <row r="4" spans="1:10">
      <c r="A4" s="17" t="str">
        <v>2B1609759</v>
      </c>
      <c r="B4" s="17" t="str">
        <v>Nguyễn Hải Anh</v>
      </c>
      <c r="C4" s="17">
        <v>0.5</v>
      </c>
      <c r="D4" s="17">
        <v>0.5</v>
      </c>
      <c r="E4" s="17">
        <v>0.45</v>
      </c>
      <c r="F4" s="17">
        <v>1.5</v>
      </c>
      <c r="G4" s="17">
        <v>7</v>
      </c>
      <c r="H4" s="17">
        <v>7.15</v>
      </c>
      <c r="I4" s="17">
        <v>7.4</v>
      </c>
      <c r="J4" s="17" t="str">
        <v>B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cp:keywords/>
  <dc:description/>
  <cp:lastModifiedBy>Minh Nguyễn</cp:lastModifiedBy>
  <cp:revision/>
  <dcterms:created xsi:type="dcterms:W3CDTF">2026-02-03T22:45:01Z</dcterms:created>
  <dcterms:modified xsi:type="dcterms:W3CDTF">2026-02-04T09:29:06Z</dcterms:modified>
  <cp:category/>
  <cp:contentStatus/>
</cp:coreProperties>
</file>