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8_{991D9652-356B-4368-8D41-9640AC61AD37}" xr6:coauthVersionLast="47" xr6:coauthVersionMax="47" xr10:uidLastSave="{00000000-0000-0000-0000-000000000000}"/>
  <bookViews>
    <workbookView xWindow="0" yWindow="0" windowWidth="21000" windowHeight="9705" activeTab="1" xr2:uid="{00000000-000D-0000-FFFF-FFFF00000000}"/>
  </bookViews>
  <sheets>
    <sheet name="Tổng hợp điểm" sheetId="1" r:id="rId1"/>
    <sheet name="Các bảng tham chiếu &amp; Thống kê " sheetId="2" r:id="rId2"/>
    <sheet name="Điểm thực hành các buổi" sheetId="3" r:id="rId3"/>
    <sheet name="Điểm lý thuyết" sheetId="4" r:id="rId4"/>
    <sheet name="Điểm bài tập lớn" sheetId="5" r:id="rId5"/>
    <sheet name="Sinh viên điểm &lt; 7" sheetId="6" r:id="rId6"/>
    <sheet name="Sinh viên điểm &gt;= 7" sheetId="7" r:id="rId7"/>
  </sheets>
  <externalReferences>
    <externalReference r:id="rId8"/>
  </externalReferences>
  <definedNames>
    <definedName name="_xlnm._FilterDatabase" localSheetId="0" hidden="1">'Tổng hợp điểm'!$A$6:$K$20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2" l="1" a="1"/>
  <c r="F27" i="2"/>
  <c r="F24" i="2"/>
  <c r="F15" i="2"/>
  <c r="F16" i="2"/>
  <c r="F17" i="2"/>
  <c r="F18" i="2"/>
  <c r="F19" i="2"/>
  <c r="F20" i="2"/>
  <c r="F21" i="2"/>
  <c r="F14" i="2"/>
  <c r="A1" i="7" a="1"/>
  <c r="A1" i="7"/>
  <c r="A1" i="6" a="1"/>
  <c r="A1" i="6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I17" i="1"/>
  <c r="I19" i="1"/>
  <c r="H7" i="1"/>
  <c r="G8" i="1"/>
  <c r="G9" i="1"/>
  <c r="G10" i="1"/>
  <c r="G11" i="1"/>
  <c r="G12" i="1"/>
  <c r="G13" i="1"/>
  <c r="G14" i="1"/>
  <c r="J14" i="1" s="1"/>
  <c r="K14" i="1" s="1"/>
  <c r="G15" i="1"/>
  <c r="G16" i="1"/>
  <c r="G17" i="1"/>
  <c r="J17" i="1" s="1"/>
  <c r="K17" i="1" s="1"/>
  <c r="G18" i="1"/>
  <c r="G19" i="1"/>
  <c r="J19" i="1" s="1"/>
  <c r="K19" i="1" s="1"/>
  <c r="G20" i="1"/>
  <c r="G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F7" i="1"/>
  <c r="E7" i="1"/>
  <c r="D7" i="1"/>
  <c r="D8" i="1"/>
  <c r="I8" i="1" s="1"/>
  <c r="D9" i="1"/>
  <c r="I9" i="1" s="1"/>
  <c r="D10" i="1"/>
  <c r="I10" i="1" s="1"/>
  <c r="D11" i="1"/>
  <c r="I11" i="1" s="1"/>
  <c r="D12" i="1"/>
  <c r="I12" i="1" s="1"/>
  <c r="D13" i="1"/>
  <c r="I13" i="1" s="1"/>
  <c r="D14" i="1"/>
  <c r="I14" i="1" s="1"/>
  <c r="D15" i="1"/>
  <c r="I15" i="1" s="1"/>
  <c r="D16" i="1"/>
  <c r="I16" i="1" s="1"/>
  <c r="D17" i="1"/>
  <c r="D18" i="1"/>
  <c r="I18" i="1" s="1"/>
  <c r="D19" i="1"/>
  <c r="D20" i="1"/>
  <c r="I20" i="1" s="1"/>
  <c r="C7" i="3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7" i="1"/>
  <c r="J20" i="1" l="1"/>
  <c r="K20" i="1" s="1"/>
  <c r="J18" i="1"/>
  <c r="K18" i="1" s="1"/>
  <c r="J16" i="1"/>
  <c r="K16" i="1" s="1"/>
  <c r="J15" i="1"/>
  <c r="K15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I7" i="1"/>
  <c r="J7" i="1" s="1"/>
  <c r="K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<sst xmlns="http://schemas.openxmlformats.org/spreadsheetml/2006/main" count="196" uniqueCount="97">
  <si>
    <t>ĐIỂM THI HK1-2018-2019 (CT428)</t>
  </si>
  <si>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</si>
  <si>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</si>
  <si>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</si>
  <si>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</si>
  <si>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</si>
  <si>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</si>
  <si>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</si>
  <si>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</si>
  <si>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</si>
  <si>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 xml:space="preserve">S              T             T         </t>
  </si>
  <si>
    <t>MÃ SV</t>
  </si>
  <si>
    <t>Họ và tên</t>
  </si>
  <si>
    <t>Điểm TH 1</t>
  </si>
  <si>
    <t>Điểm TH 2</t>
  </si>
  <si>
    <t>Điểm TH 3</t>
  </si>
  <si>
    <t>Điểm       BT           lớn</t>
  </si>
  <si>
    <t>Điểm LT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</si>
  <si>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</si>
  <si>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</si>
  <si>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</si>
  <si>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</si>
  <si>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</si>
  <si>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</si>
  <si>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</si>
  <si>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</si>
  <si>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</si>
  <si>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</si>
  <si>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</si>
  <si>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</si>
  <si>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</si>
  <si>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</si>
  <si>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</si>
  <si>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</si>
  <si>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</si>
  <si>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Bảng quy đổi điểm</t>
  </si>
  <si>
    <t>Bảng Điểm Chuyên cần</t>
  </si>
  <si>
    <t>Điểm theo thang điểm 4</t>
  </si>
  <si>
    <t xml:space="preserve">Số buổi vắng 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</si>
  <si>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</si>
  <si>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</si>
  <si>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</si>
  <si>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</si>
  <si>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</si>
  <si>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</si>
  <si>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</si>
  <si>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</si>
  <si>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</si>
  <si>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Danh sách Sinh viên</t>
  </si>
  <si>
    <t>Bảng thống kê theo điểm chữ</t>
  </si>
  <si>
    <t>STT</t>
  </si>
  <si>
    <t>Mã SV</t>
  </si>
  <si>
    <t>Số lượng sinh viên</t>
  </si>
  <si>
    <t>B1509929</t>
  </si>
  <si>
    <t>Đặng Duy Linh</t>
  </si>
  <si>
    <t>B1605285</t>
  </si>
  <si>
    <t>Huỳnh Thị Diễm</t>
  </si>
  <si>
    <t>B1605291</t>
  </si>
  <si>
    <t>Trần Thanh Nguyên</t>
  </si>
  <si>
    <t>B1605249</t>
  </si>
  <si>
    <t>Lê Minh Thông</t>
  </si>
  <si>
    <t>B1605223</t>
  </si>
  <si>
    <t>Le Thị Trúc Linh</t>
  </si>
  <si>
    <t>B1505915</t>
  </si>
  <si>
    <t>Lý Minh Trí</t>
  </si>
  <si>
    <t>B1607025</t>
  </si>
  <si>
    <t>Nguyễn Chí Thanh</t>
  </si>
  <si>
    <t>B1609773</t>
  </si>
  <si>
    <t>Nguyễn Duy Khanh</t>
  </si>
  <si>
    <t>B1609759</t>
  </si>
  <si>
    <t>Nguyễn Hải Anh</t>
  </si>
  <si>
    <t>B1509874</t>
  </si>
  <si>
    <t>Nguyễn Kiều Mi</t>
  </si>
  <si>
    <t>Bảng thống kê SV</t>
  </si>
  <si>
    <t>B1605344</t>
  </si>
  <si>
    <t>Nguyễn Thị Đào</t>
  </si>
  <si>
    <t>Số sinh viên điểm BT lớn = 0 hoặc điểm LT = -3</t>
  </si>
  <si>
    <t>B1505719</t>
  </si>
  <si>
    <t>Nguyễn Văn Hiếu</t>
  </si>
  <si>
    <t>B1605235</t>
  </si>
  <si>
    <t>Phạm Thị Huỳnh</t>
  </si>
  <si>
    <t>B1609765</t>
  </si>
  <si>
    <t>Trần Nam Dương</t>
  </si>
  <si>
    <t>Số SV nghỉ TH &gt; 2</t>
  </si>
  <si>
    <t>Điểm thực hành các buổi</t>
  </si>
  <si>
    <t xml:space="preserve">STT </t>
  </si>
  <si>
    <t xml:space="preserve">Mã SV </t>
  </si>
  <si>
    <t xml:space="preserve">Họ và tên </t>
  </si>
  <si>
    <t xml:space="preserve">Lê Minh Thông </t>
  </si>
  <si>
    <t xml:space="preserve">Trần Thanh Nguyên </t>
  </si>
  <si>
    <t xml:space="preserve">Nguyễn Hải Anh </t>
  </si>
  <si>
    <t>Điểm lý thuyết</t>
  </si>
  <si>
    <t>Lê Thị Trúc Linh</t>
  </si>
  <si>
    <t xml:space="preserve"> Lê Minh Thông</t>
  </si>
  <si>
    <t>Nguyễn Duy Khánh</t>
  </si>
  <si>
    <t>Điểm bài tập lớn</t>
  </si>
  <si>
    <t>Điểm BL lớn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</si>
</sst>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3"/>
      <color theme="1"/>
      <name val="Times New Roman"/>
      <family val="1"/>
    </font>
    <font>
      <b/>
      <sz val="13"/>
      <color rgb="FF00206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horizontal="right"/>
    </xf>
    <xf numFmtId="0" fontId="3" fillId="5" borderId="1" xfId="0" applyFont="1" applyFill="1" applyBorder="1"/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0" borderId="7" xfId="0" applyBorder="1"/>
    <xf numFmtId="0" fontId="2" fillId="2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2" borderId="1" xfId="1" applyFont="1" applyBorder="1" applyAlignment="1">
      <alignment horizontal="center"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164" fontId="0" fillId="0" borderId="1" xfId="0" applyNumberFormat="1" applyBorder="1"/>
    <xf numFmtId="164" fontId="0" fillId="4" borderId="1" xfId="0" applyNumberFormat="1" applyFill="1" applyBorder="1"/>
    <xf numFmtId="2" fontId="0" fillId="0" borderId="1" xfId="0" applyNumberFormat="1" applyBorder="1" applyAlignment="1">
      <alignment wrapText="1"/>
    </xf>
    <xf numFmtId="2" fontId="0" fillId="0" borderId="1" xfId="0" applyNumberFormat="1" applyBorder="1"/>
    <xf numFmtId="2" fontId="0" fillId="4" borderId="1" xfId="0" applyNumberFormat="1" applyFill="1" applyBorder="1"/>
    <xf numFmtId="2" fontId="0" fillId="4" borderId="1" xfId="0" applyNumberForma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2" borderId="1" xfId="1" applyFont="1" applyBorder="1" applyAlignment="1">
      <alignment horizontal="center" wrapText="1"/>
    </xf>
    <xf numFmtId="0" fontId="0" fillId="0" borderId="9" xfId="0" applyBorder="1"/>
    <xf numFmtId="1" fontId="0" fillId="0" borderId="4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6" xfId="0" applyNumberFormat="1" applyBorder="1" applyAlignment="1">
      <alignment horizontal="center" vertical="center" wrapText="1"/>
    </xf>
  </cellXfs>
  <cellStyles count="2">
    <cellStyle name="20% - Accent1" xfId="1" builtinId="30"/>
    <cellStyle name="Bình thường" xfId="0" builtinId="0"/>
  </cellStyles>
  <dxfs count="0"/>
  <tableStyles count="0" defaultTableStyle="TableStyleMedium2" defaultPivotStyle="PivotStyleLight16"/>
  <colors>
    <mruColors>
      <color rgb="FFB2B2B2"/>
      <color rgb="FF5F5F5F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Thống kê tổng số lượng Sinh viên theo điểm chữ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'Các bảng tham chiếu &amp; Thống kê 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 '!$F$14:$F$21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BE0-43FA-ACBC-A1F8CCB308A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678006934335476"/>
          <c:y val="0.28009044775152109"/>
          <c:w val="7.6405825378022443E-2"/>
          <c:h val="0.6250043744531934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3762375</xdr:colOff>
      <xdr:row>28</xdr:row>
      <xdr:rowOff>200025</xdr:rowOff>
    </xdr:from>
    <xdr:to>
      <xdr:col>6</xdr:col>
      <xdr:colOff>0</xdr:colOff>
      <xdr:row>42</xdr:row>
      <xdr:rowOff>9525</xdr:rowOff>
    </xdr:to>
    <xdr:graphicFrame macro="">
      <xdr:nvGraphicFramePr>
        <xdr:cNvPr id="2" name="Biểu đồ 1">
          <a:extLst>
            <a:ext uri="{FF2B5EF4-FFF2-40B4-BE49-F238E27FC236}">
              <a16:creationId xmlns:a16="http://schemas.microsoft.com/office/drawing/2014/main" id="{E6C802C3-CF73-9FB1-C323-31120E3B0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&#225;c%20b&#7843;ng%20tham%20chi&#7871;u%20&amp;%20Th&#7889;ng%20k&#23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ác bảng tham chiếu &amp; Thống kê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90" zoomScaleNormal="90" workbookViewId="0">
      <pane ySplit="6" topLeftCell="A7" activePane="bottomLeft" state="frozen"/>
      <selection pane="bottomLeft" activeCell="B34" sqref="B34"/>
    </sheetView>
  </sheetViews>
  <sheetFormatPr defaultRowHeight="16.5"/>
  <cols>
    <col min="1" max="1" width="5.6640625" customWidth="1"/>
    <col min="2" max="2" width="17.77734375" customWidth="1"/>
    <col min="3" max="3" width="17.88671875" customWidth="1"/>
    <col min="4" max="4" width="9.21875" customWidth="1"/>
    <col min="5" max="5" width="9.88671875" customWidth="1"/>
    <col min="6" max="6" width="9.77734375" customWidth="1"/>
    <col min="7" max="7" width="23.77734375" bestFit="1" customWidth="1"/>
    <col min="9" max="9" width="35.5546875" bestFit="1" customWidth="1"/>
    <col min="11" max="11" width="35.5546875" bestFit="1" customWidth="1"/>
  </cols>
  <sheetData>
    <row r="1" spans="1:11">
      <c r="A1" s="1"/>
      <c r="B1" s="29" t="s">
        <v>0</v>
      </c>
      <c r="C1" s="30"/>
      <c r="D1" s="30"/>
      <c r="E1" s="30"/>
      <c r="F1" s="30"/>
      <c r="G1" s="30"/>
      <c r="H1" s="30"/>
      <c r="I1" s="30"/>
      <c r="J1" s="30"/>
      <c r="K1" s="30"/>
    </row>
    <row r="2" spans="1:11" ht="25.5" customHeight="1">
      <c r="A2" s="1"/>
      <c r="B2" s="2" t="s">
        <v>1</v>
      </c>
      <c r="C2" s="3">
        <v>1043</v>
      </c>
      <c r="D2" s="31" t="s">
        <v>2</v>
      </c>
      <c r="E2" s="31"/>
      <c r="F2" s="31" t="s">
        <v>3</v>
      </c>
      <c r="G2" s="31"/>
      <c r="H2" s="31"/>
      <c r="I2" s="1"/>
      <c r="J2" s="1"/>
      <c r="K2" s="1"/>
    </row>
    <row r="3" spans="1:11">
      <c r="A3" s="1"/>
      <c r="B3" s="2" t="s">
        <v>4</v>
      </c>
      <c r="C3" s="1" t="s">
        <v>5</v>
      </c>
      <c r="D3" s="32" t="s">
        <v>6</v>
      </c>
      <c r="E3" s="32"/>
      <c r="F3" s="32">
        <v>8</v>
      </c>
      <c r="G3" s="32"/>
      <c r="H3" s="32"/>
      <c r="I3" s="1"/>
      <c r="J3" s="1"/>
      <c r="K3" s="1"/>
    </row>
    <row r="4" spans="1:11">
      <c r="A4" s="1"/>
      <c r="B4" s="1" t="s">
        <v>7</v>
      </c>
      <c r="C4" s="1" t="s">
        <v>8</v>
      </c>
      <c r="D4" s="32" t="s">
        <v>9</v>
      </c>
      <c r="E4" s="32"/>
      <c r="F4" s="33">
        <v>1</v>
      </c>
      <c r="G4" s="33"/>
      <c r="H4" s="33"/>
      <c r="I4" s="1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67.5" customHeight="1">
      <c r="A6" s="4" t="s">
        <v>10</v>
      </c>
      <c r="B6" s="5" t="s">
        <v>11</v>
      </c>
      <c r="C6" s="5" t="s">
        <v>12</v>
      </c>
      <c r="D6" s="5" t="s">
        <v>13</v>
      </c>
      <c r="E6" s="6" t="s">
        <v>14</v>
      </c>
      <c r="F6" s="5" t="s">
        <v>15</v>
      </c>
      <c r="G6" s="4" t="s">
        <v>16</v>
      </c>
      <c r="H6" s="5" t="s">
        <v>17</v>
      </c>
      <c r="I6" s="5" t="s">
        <v>18</v>
      </c>
      <c r="J6" s="4" t="s">
        <v>19</v>
      </c>
      <c r="K6" s="5" t="s">
        <v>20</v>
      </c>
    </row>
    <row r="7" spans="1:11" ht="17.25">
      <c r="A7" s="13">
        <v>1</v>
      </c>
      <c r="B7" s="1" t="s">
        <v>21</v>
      </c>
      <c r="C7" s="21" t="str">
        <f>VLOOKUP(RIGHT(B7, 8), 'Các bảng tham chiếu &amp; Thống kê '!$B$14:$C$27, 2, 0)</f>
        <v>Nguyễn Văn Hiếu</v>
      </c>
      <c r="D7" s="25">
        <f>VLOOKUP(RIGHT(B7, 8), 'Điểm thực hành các buổi'!$B$3:$G$16, 4, 0)</f>
        <v>0.45</v>
      </c>
      <c r="E7" s="25">
        <f>VLOOKUP(RIGHT(B7, 8), 'Điểm thực hành các buổi'!$B$2:$G$16, 5, 0)</f>
        <v>0.25</v>
      </c>
      <c r="F7" s="25">
        <f>VLOOKUP(RIGHT(B7, 8), 'Điểm thực hành các buổi'!$B$2:$G$16, 6, 0)</f>
        <v>0.3</v>
      </c>
      <c r="G7" s="26">
        <f>VLOOKUP(RIGHT(B7, 8), 'Điểm bài tập lớn'!$B$3:$D$16, 3, 0)</f>
        <v>0.5</v>
      </c>
      <c r="H7" s="23">
        <f>VLOOKUP(RIGHT(B7, 8), 'Điểm lý thuyết'!$B$3:$F$16, 4, 0)</f>
        <v>4.2</v>
      </c>
      <c r="I7" s="22">
        <f>IF(H7=-3, 0, ROUND(SUM(D7, E7, F7, G7, 0.6*N(H7)), 1))</f>
        <v>4</v>
      </c>
      <c r="J7" s="24">
        <f>IF(OR(G7=0, VALUE(LEFT(B7, 1))&gt;2), 0, ROUND(I7 + IFERROR(VLOOKUP(VALUE(LEFT(B7, 1)), '[1]Các bảng tham chiếu &amp; Thống kê'!$E$2:$F$5, 2, 0), 0), 1))</f>
        <v>4</v>
      </c>
      <c r="K7" s="28" t="str">
        <f>VLOOKUP(J7, 'Các bảng tham chiếu &amp; Thống kê '!$A$3:$B$10, 2, 1)</f>
        <v>D</v>
      </c>
    </row>
    <row r="8" spans="1:11" ht="17.25">
      <c r="A8" s="13">
        <v>2</v>
      </c>
      <c r="B8" s="1" t="s">
        <v>22</v>
      </c>
      <c r="C8" s="21" t="str">
        <f>VLOOKUP(RIGHT(B8, 8), 'Các bảng tham chiếu &amp; Thống kê '!$B$14:$C$27, 2, 0)</f>
        <v>Lý Minh Trí</v>
      </c>
      <c r="D8" s="25">
        <f>VLOOKUP(RIGHT(B8, 8), 'Điểm thực hành các buổi'!$B$3:$G$16, 4, 0)</f>
        <v>0.5</v>
      </c>
      <c r="E8" s="25">
        <f>VLOOKUP(RIGHT(B8, 8), 'Điểm thực hành các buổi'!$B$2:$G$16, 5, 0)</f>
        <v>0.35</v>
      </c>
      <c r="F8" s="25">
        <f>VLOOKUP(RIGHT(B8, 8), 'Điểm thực hành các buổi'!$B$2:$G$16, 6, 0)</f>
        <v>0.4</v>
      </c>
      <c r="G8" s="26">
        <f>VLOOKUP(RIGHT(B8, 8), 'Điểm bài tập lớn'!$B$3:$D$16, 3, 0)</f>
        <v>1</v>
      </c>
      <c r="H8" s="23">
        <f>VLOOKUP(RIGHT(B8, 8), 'Điểm lý thuyết'!$B$3:$F$16, 4, 0)</f>
        <v>5.8</v>
      </c>
      <c r="I8" s="22">
        <f t="shared" ref="I8:I20" si="0">IF(H8=-3, 0, ROUND(SUM(D8,E8,F8,G8) + 0.6*N(H8), 1))</f>
        <v>5.7</v>
      </c>
      <c r="J8" s="24">
        <f>IF(OR(G8=0, VALUE(LEFT(B8, 1))&gt;2), 0, ROUND(I8 + IFERROR(VLOOKUP(VALUE(LEFT(B8, 1)), '[1]Các bảng tham chiếu &amp; Thống kê'!$E$2:$F$5, 2, 0), 0), 1))</f>
        <v>5.7</v>
      </c>
      <c r="K8" s="28" t="str">
        <f>VLOOKUP(J8, 'Các bảng tham chiếu &amp; Thống kê '!$A$3:$B$10, 2, 1)</f>
        <v>C</v>
      </c>
    </row>
    <row r="9" spans="1:11" ht="17.25">
      <c r="A9" s="13">
        <v>3</v>
      </c>
      <c r="B9" s="1" t="s">
        <v>23</v>
      </c>
      <c r="C9" s="21" t="str">
        <f>VLOOKUP(RIGHT(B9, 8), 'Các bảng tham chiếu &amp; Thống kê '!$B$14:$C$27, 2, 0)</f>
        <v>Nguyễn Kiều Mi</v>
      </c>
      <c r="D9" s="25">
        <f>VLOOKUP(RIGHT(B9, 8), 'Điểm thực hành các buổi'!$B$3:$G$16, 4, 0)</f>
        <v>0.25</v>
      </c>
      <c r="E9" s="25">
        <f>VLOOKUP(RIGHT(B9, 8), 'Điểm thực hành các buổi'!$B$2:$G$16, 5, 0)</f>
        <v>0.25</v>
      </c>
      <c r="F9" s="25">
        <f>VLOOKUP(RIGHT(B9, 8), 'Điểm thực hành các buổi'!$B$2:$G$16, 6, 0)</f>
        <v>0.3</v>
      </c>
      <c r="G9" s="26">
        <f>VLOOKUP(RIGHT(B9, 8), 'Điểm bài tập lớn'!$B$3:$D$16, 3, 0)</f>
        <v>0.5</v>
      </c>
      <c r="H9" s="23">
        <f>VLOOKUP(RIGHT(B9, 8), 'Điểm lý thuyết'!$B$3:$F$16, 4, 0)</f>
        <v>5.8</v>
      </c>
      <c r="I9" s="22">
        <f t="shared" si="0"/>
        <v>4.8</v>
      </c>
      <c r="J9" s="24">
        <f>IF(OR(G9=0, VALUE(LEFT(B9, 1))&gt;2), 0, ROUND(I9 + IFERROR(VLOOKUP(VALUE(LEFT(B9, 1)), '[1]Các bảng tham chiếu &amp; Thống kê'!$E$2:$F$5, 2, 0), 0), 1))</f>
        <v>4.8</v>
      </c>
      <c r="K9" s="28" t="str">
        <f>VLOOKUP(J9, 'Các bảng tham chiếu &amp; Thống kê '!$A$3:$B$10, 2, 1)</f>
        <v>D</v>
      </c>
    </row>
    <row r="10" spans="1:11" ht="17.25">
      <c r="A10" s="13">
        <v>4</v>
      </c>
      <c r="B10" s="1" t="s">
        <v>24</v>
      </c>
      <c r="C10" s="21" t="str">
        <f>VLOOKUP(RIGHT(B10, 8), 'Các bảng tham chiếu &amp; Thống kê '!$B$14:$C$27, 2, 0)</f>
        <v>Đặng Duy Linh</v>
      </c>
      <c r="D10" s="25">
        <f>VLOOKUP(RIGHT(B10, 8), 'Điểm thực hành các buổi'!$B$3:$G$16, 4, 0)</f>
        <v>0.4</v>
      </c>
      <c r="E10" s="25">
        <f>VLOOKUP(RIGHT(B10, 8), 'Điểm thực hành các buổi'!$B$2:$G$16, 5, 0)</f>
        <v>0.25</v>
      </c>
      <c r="F10" s="25">
        <f>VLOOKUP(RIGHT(B10, 8), 'Điểm thực hành các buổi'!$B$2:$G$16, 6, 0)</f>
        <v>0.35</v>
      </c>
      <c r="G10" s="26">
        <f>VLOOKUP(RIGHT(B10, 8), 'Điểm bài tập lớn'!$B$3:$D$16, 3, 0)</f>
        <v>1</v>
      </c>
      <c r="H10" s="23">
        <f>VLOOKUP(RIGHT(B10, 8), 'Điểm lý thuyết'!$B$3:$F$16, 4, 0)</f>
        <v>4.5</v>
      </c>
      <c r="I10" s="22">
        <f t="shared" si="0"/>
        <v>4.7</v>
      </c>
      <c r="J10" s="24">
        <f>IF(OR(G10=0, VALUE(LEFT(B10, 1))&gt;2), 0, ROUND(I10 + IFERROR(VLOOKUP(VALUE(LEFT(B10, 1)), '[1]Các bảng tham chiếu &amp; Thống kê'!$E$2:$F$5, 2, 0), 0), 1))</f>
        <v>4.7</v>
      </c>
      <c r="K10" s="28" t="str">
        <f>VLOOKUP(J10, 'Các bảng tham chiếu &amp; Thống kê '!$A$3:$B$10, 2, 1)</f>
        <v>D</v>
      </c>
    </row>
    <row r="11" spans="1:11" ht="17.25">
      <c r="A11" s="13">
        <v>5</v>
      </c>
      <c r="B11" s="1" t="s">
        <v>25</v>
      </c>
      <c r="C11" s="21" t="str">
        <f>VLOOKUP(RIGHT(B11, 8), 'Các bảng tham chiếu &amp; Thống kê '!$B$14:$C$27, 2, 0)</f>
        <v>Le Thị Trúc Linh</v>
      </c>
      <c r="D11" s="25">
        <f>VLOOKUP(RIGHT(B11, 8), 'Điểm thực hành các buổi'!$B$3:$G$16, 4, 0)</f>
        <v>0.45</v>
      </c>
      <c r="E11" s="25">
        <f>VLOOKUP(RIGHT(B11, 8), 'Điểm thực hành các buổi'!$B$2:$G$16, 5, 0)</f>
        <v>0.4</v>
      </c>
      <c r="F11" s="25">
        <f>VLOOKUP(RIGHT(B11, 8), 'Điểm thực hành các buổi'!$B$2:$G$16, 6, 0)</f>
        <v>0.35</v>
      </c>
      <c r="G11" s="26">
        <f>VLOOKUP(RIGHT(B11, 8), 'Điểm bài tập lớn'!$B$3:$D$16, 3, 0)</f>
        <v>1.75</v>
      </c>
      <c r="H11" s="23">
        <f>VLOOKUP(RIGHT(B11, 8), 'Điểm lý thuyết'!$B$3:$F$16, 4, 0)</f>
        <v>5.5</v>
      </c>
      <c r="I11" s="22">
        <f t="shared" si="0"/>
        <v>6.3</v>
      </c>
      <c r="J11" s="24">
        <f>IF(OR(G11=0, VALUE(LEFT(B11, 1))&gt;2), 0, ROUND(I11 + IFERROR(VLOOKUP(VALUE(LEFT(B11, 1)), '[1]Các bảng tham chiếu &amp; Thống kê'!$E$2:$F$5, 2, 0), 0), 1))</f>
        <v>6.3</v>
      </c>
      <c r="K11" s="28" t="str">
        <f>VLOOKUP(J11, 'Các bảng tham chiếu &amp; Thống kê '!$A$3:$B$10, 2, 1)</f>
        <v>C</v>
      </c>
    </row>
    <row r="12" spans="1:11" ht="17.25">
      <c r="A12" s="13">
        <v>6</v>
      </c>
      <c r="B12" s="1" t="s">
        <v>26</v>
      </c>
      <c r="C12" s="21" t="str">
        <f>VLOOKUP(RIGHT(B12, 8), 'Các bảng tham chiếu &amp; Thống kê '!$B$14:$C$27, 2, 0)</f>
        <v>Phạm Thị Huỳnh</v>
      </c>
      <c r="D12" s="25">
        <f>VLOOKUP(RIGHT(B12, 8), 'Điểm thực hành các buổi'!$B$3:$G$16, 4, 0)</f>
        <v>0.4</v>
      </c>
      <c r="E12" s="25">
        <f>VLOOKUP(RIGHT(B12, 8), 'Điểm thực hành các buổi'!$B$2:$G$16, 5, 0)</f>
        <v>0.45</v>
      </c>
      <c r="F12" s="25">
        <f>VLOOKUP(RIGHT(B12, 8), 'Điểm thực hành các buổi'!$B$2:$G$16, 6, 0)</f>
        <v>0.5</v>
      </c>
      <c r="G12" s="26">
        <f>VLOOKUP(RIGHT(B12, 8), 'Điểm bài tập lớn'!$B$3:$D$16, 3, 0)</f>
        <v>1.2</v>
      </c>
      <c r="H12" s="26">
        <f>VLOOKUP(RIGHT(B12, 8), 'Điểm lý thuyết'!$B$3:$F$16, 4, 0)</f>
        <v>7.5</v>
      </c>
      <c r="I12" s="25">
        <f t="shared" si="0"/>
        <v>7.1</v>
      </c>
      <c r="J12" s="27">
        <f>IF(OR(G12=0, VALUE(LEFT(B12, 1))&gt;2), 0, ROUND(I12 + IFERROR(VLOOKUP(VALUE(LEFT(B12, 1)), '[1]Các bảng tham chiếu &amp; Thống kê'!$E$2:$F$5, 2, 0), 0), 1))</f>
        <v>7.1</v>
      </c>
      <c r="K12" s="28" t="str">
        <f>VLOOKUP(J12, 'Các bảng tham chiếu &amp; Thống kê '!$A$3:$B$10, 2, 1)</f>
        <v>B</v>
      </c>
    </row>
    <row r="13" spans="1:11" ht="17.25">
      <c r="A13" s="13">
        <v>7</v>
      </c>
      <c r="B13" s="1" t="s">
        <v>27</v>
      </c>
      <c r="C13" s="21" t="str">
        <f>VLOOKUP(RIGHT(B13, 8), 'Các bảng tham chiếu &amp; Thống kê '!$B$14:$C$27, 2, 0)</f>
        <v>Lê Minh Thông</v>
      </c>
      <c r="D13" s="25">
        <f>VLOOKUP(RIGHT(B13, 8), 'Điểm thực hành các buổi'!$B$3:$G$16, 4, 0)</f>
        <v>0.4</v>
      </c>
      <c r="E13" s="25">
        <f>VLOOKUP(RIGHT(B13, 8), 'Điểm thực hành các buổi'!$B$2:$G$16, 5, 0)</f>
        <v>0.4</v>
      </c>
      <c r="F13" s="25">
        <f>VLOOKUP(RIGHT(B13, 8), 'Điểm thực hành các buổi'!$B$2:$G$16, 6, 0)</f>
        <v>0.4</v>
      </c>
      <c r="G13" s="26">
        <f>VLOOKUP(RIGHT(B13, 8), 'Điểm bài tập lớn'!$B$3:$D$16, 3, 0)</f>
        <v>1</v>
      </c>
      <c r="H13" s="23">
        <f>VLOOKUP(RIGHT(B13, 8), 'Điểm lý thuyết'!$B$3:$F$16, 4, 0)</f>
        <v>5.3</v>
      </c>
      <c r="I13" s="22">
        <f t="shared" si="0"/>
        <v>5.4</v>
      </c>
      <c r="J13" s="24">
        <f>IF(OR(G13=0, VALUE(LEFT(B13, 1))&gt;2), 0, ROUND(I13 + IFERROR(VLOOKUP(VALUE(LEFT(B13, 1)), '[1]Các bảng tham chiếu &amp; Thống kê'!$E$2:$F$5, 2, 0), 0), 1))</f>
        <v>5.4</v>
      </c>
      <c r="K13" s="28" t="str">
        <f>VLOOKUP(J13, 'Các bảng tham chiếu &amp; Thống kê '!$A$3:$B$10, 2, 1)</f>
        <v>D+</v>
      </c>
    </row>
    <row r="14" spans="1:11" ht="17.25">
      <c r="A14" s="13">
        <v>8</v>
      </c>
      <c r="B14" s="1" t="s">
        <v>28</v>
      </c>
      <c r="C14" s="21" t="str">
        <f>VLOOKUP(RIGHT(B14, 8), 'Các bảng tham chiếu &amp; Thống kê '!$B$14:$C$27, 2, 0)</f>
        <v>Huỳnh Thị Diễm</v>
      </c>
      <c r="D14" s="25">
        <f>VLOOKUP(RIGHT(B14, 8), 'Điểm thực hành các buổi'!$B$3:$G$16, 4, 0)</f>
        <v>0.45</v>
      </c>
      <c r="E14" s="25">
        <f>VLOOKUP(RIGHT(B14, 8), 'Điểm thực hành các buổi'!$B$2:$G$16, 5, 0)</f>
        <v>0.4</v>
      </c>
      <c r="F14" s="25">
        <f>VLOOKUP(RIGHT(B14, 8), 'Điểm thực hành các buổi'!$B$2:$G$16, 6, 0)</f>
        <v>0.45</v>
      </c>
      <c r="G14" s="26">
        <f>VLOOKUP(RIGHT(B14, 8), 'Điểm bài tập lớn'!$B$3:$D$16, 3, 0)</f>
        <v>0</v>
      </c>
      <c r="H14" s="23">
        <f>VLOOKUP(RIGHT(B14, 8), 'Điểm lý thuyết'!$B$3:$F$16, 4, 0)</f>
        <v>6.8</v>
      </c>
      <c r="I14" s="22">
        <f t="shared" si="0"/>
        <v>5.4</v>
      </c>
      <c r="J14" s="24">
        <f>IF(OR(G14=0, VALUE(LEFT(B14, 1))&gt;2), 0, ROUND(I14 + IFERROR(VLOOKUP(VALUE(LEFT(B14, 1)), '[1]Các bảng tham chiếu &amp; Thống kê'!$E$2:$F$5, 2, 0), 0), 1))</f>
        <v>0</v>
      </c>
      <c r="K14" s="28" t="str">
        <f>VLOOKUP(J14, 'Các bảng tham chiếu &amp; Thống kê '!$A$3:$B$10, 2, 1)</f>
        <v>F</v>
      </c>
    </row>
    <row r="15" spans="1:11" ht="17.25">
      <c r="A15" s="13">
        <v>9</v>
      </c>
      <c r="B15" s="1" t="s">
        <v>29</v>
      </c>
      <c r="C15" s="21" t="str">
        <f>VLOOKUP(RIGHT(B15, 8), 'Các bảng tham chiếu &amp; Thống kê '!$B$14:$C$27, 2, 0)</f>
        <v>Trần Thanh Nguyên</v>
      </c>
      <c r="D15" s="25">
        <f>VLOOKUP(RIGHT(B15, 8), 'Điểm thực hành các buổi'!$B$3:$G$16, 4, 0)</f>
        <v>0.45</v>
      </c>
      <c r="E15" s="25">
        <f>VLOOKUP(RIGHT(B15, 8), 'Điểm thực hành các buổi'!$B$2:$G$16, 5, 0)</f>
        <v>0.4</v>
      </c>
      <c r="F15" s="25">
        <f>VLOOKUP(RIGHT(B15, 8), 'Điểm thực hành các buổi'!$B$2:$G$16, 6, 0)</f>
        <v>0.4</v>
      </c>
      <c r="G15" s="26">
        <f>VLOOKUP(RIGHT(B15, 8), 'Điểm bài tập lớn'!$B$3:$D$16, 3, 0)</f>
        <v>0.75</v>
      </c>
      <c r="H15" s="23">
        <f>VLOOKUP(RIGHT(B15, 8), 'Điểm lý thuyết'!$B$3:$F$16, 4, 0)</f>
        <v>6.3</v>
      </c>
      <c r="I15" s="22">
        <f t="shared" si="0"/>
        <v>5.8</v>
      </c>
      <c r="J15" s="24">
        <f>IF(OR(G15=0, VALUE(LEFT(B15, 1))&gt;2), 0, ROUND(I15 + IFERROR(VLOOKUP(VALUE(LEFT(B15, 1)), '[1]Các bảng tham chiếu &amp; Thống kê'!$E$2:$F$5, 2, 0), 0), 1))</f>
        <v>5.8</v>
      </c>
      <c r="K15" s="28" t="str">
        <f>VLOOKUP(J15, 'Các bảng tham chiếu &amp; Thống kê '!$A$3:$B$10, 2, 1)</f>
        <v>C</v>
      </c>
    </row>
    <row r="16" spans="1:11" ht="17.25">
      <c r="A16" s="13">
        <v>10</v>
      </c>
      <c r="B16" s="1" t="s">
        <v>30</v>
      </c>
      <c r="C16" s="21" t="str">
        <f>VLOOKUP(RIGHT(B16, 8), 'Các bảng tham chiếu &amp; Thống kê '!$B$14:$C$27, 2, 0)</f>
        <v>Nguyễn Thị Đào</v>
      </c>
      <c r="D16" s="25">
        <f>VLOOKUP(RIGHT(B16, 8), 'Điểm thực hành các buổi'!$B$3:$G$16, 4, 0)</f>
        <v>0.3</v>
      </c>
      <c r="E16" s="25">
        <f>VLOOKUP(RIGHT(B16, 8), 'Điểm thực hành các buổi'!$B$2:$G$16, 5, 0)</f>
        <v>0.5</v>
      </c>
      <c r="F16" s="25">
        <f>VLOOKUP(RIGHT(B16, 8), 'Điểm thực hành các buổi'!$B$2:$G$16, 6, 0)</f>
        <v>0.45</v>
      </c>
      <c r="G16" s="26">
        <f>VLOOKUP(RIGHT(B16, 8), 'Điểm bài tập lớn'!$B$3:$D$16, 3, 0)</f>
        <v>0.3</v>
      </c>
      <c r="H16" s="23">
        <f>VLOOKUP(RIGHT(B16, 8), 'Điểm lý thuyết'!$B$3:$F$16, 4, 0)</f>
        <v>8.3000000000000007</v>
      </c>
      <c r="I16" s="22">
        <f t="shared" si="0"/>
        <v>6.5</v>
      </c>
      <c r="J16" s="24">
        <f>IF(OR(G16=0, VALUE(LEFT(B16, 1))&gt;2), 0, ROUND(I16 + IFERROR(VLOOKUP(VALUE(LEFT(B16, 1)), '[1]Các bảng tham chiếu &amp; Thống kê'!$E$2:$F$5, 2, 0), 0), 1))</f>
        <v>6.5</v>
      </c>
      <c r="K16" s="28" t="str">
        <f>VLOOKUP(J16, 'Các bảng tham chiếu &amp; Thống kê '!$A$3:$B$10, 2, 1)</f>
        <v>C+</v>
      </c>
    </row>
    <row r="17" spans="1:11" ht="17.25">
      <c r="A17" s="13">
        <v>11</v>
      </c>
      <c r="B17" s="1" t="s">
        <v>31</v>
      </c>
      <c r="C17" s="21" t="str">
        <f>VLOOKUP(RIGHT(B17, 8), 'Các bảng tham chiếu &amp; Thống kê '!$B$14:$C$27, 2, 0)</f>
        <v>Nguyễn Chí Thanh</v>
      </c>
      <c r="D17" s="25">
        <f>VLOOKUP(RIGHT(B17, 8), 'Điểm thực hành các buổi'!$B$3:$G$16, 4, 0)</f>
        <v>0.4</v>
      </c>
      <c r="E17" s="25">
        <f>VLOOKUP(RIGHT(B17, 8), 'Điểm thực hành các buổi'!$B$2:$G$16, 5, 0)</f>
        <v>0.45</v>
      </c>
      <c r="F17" s="25">
        <f>VLOOKUP(RIGHT(B17, 8), 'Điểm thực hành các buổi'!$B$2:$G$16, 6, 0)</f>
        <v>0.4</v>
      </c>
      <c r="G17" s="26">
        <f>VLOOKUP(RIGHT(B17, 8), 'Điểm bài tập lớn'!$B$3:$D$16, 3, 0)</f>
        <v>0.3</v>
      </c>
      <c r="H17" s="23">
        <f>VLOOKUP(RIGHT(B17, 8), 'Điểm lý thuyết'!$B$3:$F$16, 4, 0)</f>
        <v>-3</v>
      </c>
      <c r="I17" s="22">
        <f t="shared" si="0"/>
        <v>0</v>
      </c>
      <c r="J17" s="24">
        <f>IF(OR(G17=0, VALUE(LEFT(B17, 1))&gt;2), 0, ROUND(I17 + IFERROR(VLOOKUP(VALUE(LEFT(B17, 1)), '[1]Các bảng tham chiếu &amp; Thống kê'!$E$2:$F$5, 2, 0), 0), 1))</f>
        <v>0</v>
      </c>
      <c r="K17" s="28" t="str">
        <f>VLOOKUP(J17, 'Các bảng tham chiếu &amp; Thống kê '!$A$3:$B$10, 2, 1)</f>
        <v>F</v>
      </c>
    </row>
    <row r="18" spans="1:11" ht="17.25">
      <c r="A18" s="13">
        <v>12</v>
      </c>
      <c r="B18" s="1" t="s">
        <v>32</v>
      </c>
      <c r="C18" s="21" t="str">
        <f>VLOOKUP(RIGHT(B18, 8), 'Các bảng tham chiếu &amp; Thống kê '!$B$14:$C$27, 2, 0)</f>
        <v>Nguyễn Hải Anh</v>
      </c>
      <c r="D18" s="25">
        <f>VLOOKUP(RIGHT(B18, 8), 'Điểm thực hành các buổi'!$B$3:$G$16, 4, 0)</f>
        <v>0.5</v>
      </c>
      <c r="E18" s="25">
        <f>VLOOKUP(RIGHT(B18, 8), 'Điểm thực hành các buổi'!$B$2:$G$16, 5, 0)</f>
        <v>0.5</v>
      </c>
      <c r="F18" s="25">
        <f>VLOOKUP(RIGHT(B18, 8), 'Điểm thực hành các buổi'!$B$2:$G$16, 6, 0)</f>
        <v>0.45</v>
      </c>
      <c r="G18" s="26">
        <f>VLOOKUP(RIGHT(B18, 8), 'Điểm bài tập lớn'!$B$3:$D$16, 3, 0)</f>
        <v>1.5</v>
      </c>
      <c r="H18" s="26">
        <f>VLOOKUP(RIGHT(B18, 8), 'Điểm lý thuyết'!$B$3:$F$16, 4, 0)</f>
        <v>7</v>
      </c>
      <c r="I18" s="25">
        <f t="shared" si="0"/>
        <v>7.2</v>
      </c>
      <c r="J18" s="27">
        <f>IF(OR(G18=0, VALUE(LEFT(B18, 1))&gt;2), 0, ROUND(I18 + IFERROR(VLOOKUP(VALUE(LEFT(B18, 1)), '[1]Các bảng tham chiếu &amp; Thống kê'!$E$2:$F$5, 2, 0), 0), 1))</f>
        <v>7.2</v>
      </c>
      <c r="K18" s="28" t="str">
        <f>VLOOKUP(J18, 'Các bảng tham chiếu &amp; Thống kê '!$A$3:$B$10, 2, 1)</f>
        <v>B</v>
      </c>
    </row>
    <row r="19" spans="1:11" ht="17.25">
      <c r="A19" s="13">
        <v>13</v>
      </c>
      <c r="B19" s="1" t="s">
        <v>33</v>
      </c>
      <c r="C19" s="21" t="str">
        <f>VLOOKUP(RIGHT(B19, 8), 'Các bảng tham chiếu &amp; Thống kê '!$B$14:$C$27, 2, 0)</f>
        <v>Trần Nam Dương</v>
      </c>
      <c r="D19" s="25">
        <f>VLOOKUP(RIGHT(B19, 8), 'Điểm thực hành các buổi'!$B$3:$G$16, 4, 0)</f>
        <v>0.4</v>
      </c>
      <c r="E19" s="25">
        <f>VLOOKUP(RIGHT(B19, 8), 'Điểm thực hành các buổi'!$B$2:$G$16, 5, 0)</f>
        <v>0.4</v>
      </c>
      <c r="F19" s="25">
        <f>VLOOKUP(RIGHT(B19, 8), 'Điểm thực hành các buổi'!$B$2:$G$16, 6, 0)</f>
        <v>0.35</v>
      </c>
      <c r="G19" s="26">
        <f>VLOOKUP(RIGHT(B19, 8), 'Điểm bài tập lớn'!$B$3:$D$16, 3, 0)</f>
        <v>1.35</v>
      </c>
      <c r="H19" s="23">
        <f>VLOOKUP(RIGHT(B19, 8), 'Điểm lý thuyết'!$B$3:$F$16, 4, 0)</f>
        <v>-3</v>
      </c>
      <c r="I19" s="22">
        <f t="shared" si="0"/>
        <v>0</v>
      </c>
      <c r="J19" s="24">
        <f>IF(OR(G19=0, VALUE(LEFT(B19, 1))&gt;2), 0, ROUND(I19 + IFERROR(VLOOKUP(VALUE(LEFT(B19, 1)), '[1]Các bảng tham chiếu &amp; Thống kê'!$E$2:$F$5, 2, 0), 0), 1))</f>
        <v>0</v>
      </c>
      <c r="K19" s="28" t="str">
        <f>VLOOKUP(J19, 'Các bảng tham chiếu &amp; Thống kê '!$A$3:$B$10, 2, 1)</f>
        <v>F</v>
      </c>
    </row>
    <row r="20" spans="1:11" ht="17.25">
      <c r="A20" s="13">
        <v>14</v>
      </c>
      <c r="B20" s="1" t="s">
        <v>34</v>
      </c>
      <c r="C20" s="21" t="str">
        <f>VLOOKUP(RIGHT(B20, 8), 'Các bảng tham chiếu &amp; Thống kê '!$B$14:$C$27, 2, 0)</f>
        <v>Nguyễn Duy Khanh</v>
      </c>
      <c r="D20" s="25">
        <f>VLOOKUP(RIGHT(B20, 8), 'Điểm thực hành các buổi'!$B$3:$G$16, 4, 0)</f>
        <v>0.35</v>
      </c>
      <c r="E20" s="25">
        <f>VLOOKUP(RIGHT(B20, 8), 'Điểm thực hành các buổi'!$B$2:$G$16, 5, 0)</f>
        <v>0.4</v>
      </c>
      <c r="F20" s="25">
        <f>VLOOKUP(RIGHT(B20, 8), 'Điểm thực hành các buổi'!$B$2:$G$16, 6, 0)</f>
        <v>0</v>
      </c>
      <c r="G20" s="26">
        <f>VLOOKUP(RIGHT(B20, 8), 'Điểm bài tập lớn'!$B$3:$D$16, 3, 0)</f>
        <v>0.85</v>
      </c>
      <c r="H20" s="23">
        <f>VLOOKUP(RIGHT(B20, 8), 'Điểm lý thuyết'!$B$3:$F$16, 4, 0)</f>
        <v>6.5</v>
      </c>
      <c r="I20" s="22">
        <f t="shared" si="0"/>
        <v>5.5</v>
      </c>
      <c r="J20" s="24">
        <f>IF(OR(G20=0, VALUE(LEFT(B20, 1))&gt;2), 0, ROUND(I20 + IFERROR(VLOOKUP(VALUE(LEFT(B20, 1)), '[1]Các bảng tham chiếu &amp; Thống kê'!$E$2:$F$5, 2, 0), 0), 1))</f>
        <v>5.5</v>
      </c>
      <c r="K20" s="28" t="str">
        <f>VLOOKUP(J20, 'Các bảng tham chiếu &amp; Thống kê '!$A$3:$B$10, 2, 1)</f>
        <v>C</v>
      </c>
    </row>
  </sheetData>
  <mergeCells count="7">
    <mergeCell ref="B1:K1"/>
    <mergeCell ref="D2:E2"/>
    <mergeCell ref="F2:H2"/>
    <mergeCell ref="F3:H3"/>
    <mergeCell ref="F4:H4"/>
    <mergeCell ref="D3:E3"/>
    <mergeCell ref="D4:E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tabSelected="1" topLeftCell="A25" workbookViewId="0">
      <selection activeCell="B47" sqref="B47"/>
    </sheetView>
  </sheetViews>
  <sheetFormatPr defaultRowHeight="16.5"/>
  <cols>
    <col min="1" max="1" width="35.6640625" customWidth="1"/>
    <col min="2" max="2" width="17.88671875" customWidth="1"/>
    <col min="3" max="3" width="44.33203125" customWidth="1"/>
    <col min="4" max="4" width="5.21875" customWidth="1"/>
    <col min="5" max="5" width="26.6640625" customWidth="1"/>
    <col min="6" max="6" width="17.88671875" customWidth="1"/>
  </cols>
  <sheetData>
    <row r="1" spans="1:6">
      <c r="A1" s="37" t="s">
        <v>35</v>
      </c>
      <c r="B1" s="37"/>
      <c r="C1" s="37"/>
      <c r="D1" s="1"/>
      <c r="E1" s="37" t="s">
        <v>36</v>
      </c>
      <c r="F1" s="37"/>
    </row>
    <row r="2" spans="1:6">
      <c r="A2" s="15" t="s">
        <v>19</v>
      </c>
      <c r="B2" s="15" t="s">
        <v>20</v>
      </c>
      <c r="C2" s="15" t="s">
        <v>37</v>
      </c>
      <c r="D2" s="1"/>
      <c r="E2" s="8" t="s">
        <v>38</v>
      </c>
      <c r="F2" s="8" t="s">
        <v>39</v>
      </c>
    </row>
    <row r="3" spans="1:6">
      <c r="A3" s="1">
        <v>0</v>
      </c>
      <c r="B3" s="7" t="s">
        <v>40</v>
      </c>
      <c r="C3" s="1">
        <v>0</v>
      </c>
      <c r="D3" s="1"/>
      <c r="E3" s="13">
        <v>0</v>
      </c>
      <c r="F3" s="1">
        <v>1</v>
      </c>
    </row>
    <row r="4" spans="1:6">
      <c r="A4" s="1">
        <v>4</v>
      </c>
      <c r="B4" s="7" t="s">
        <v>41</v>
      </c>
      <c r="C4" s="1">
        <v>1</v>
      </c>
      <c r="D4" s="1"/>
      <c r="E4" s="13">
        <v>1</v>
      </c>
      <c r="F4" s="1">
        <v>0.5</v>
      </c>
    </row>
    <row r="5" spans="1:6">
      <c r="A5" s="1">
        <v>5</v>
      </c>
      <c r="B5" s="7" t="s">
        <v>42</v>
      </c>
      <c r="C5" s="1">
        <v>1.5</v>
      </c>
      <c r="D5" s="1"/>
      <c r="E5" s="13">
        <v>2</v>
      </c>
      <c r="F5" s="1">
        <v>0.25</v>
      </c>
    </row>
    <row r="6" spans="1:6">
      <c r="A6" s="1">
        <v>5.5</v>
      </c>
      <c r="B6" s="7" t="s">
        <v>43</v>
      </c>
      <c r="C6" s="1">
        <v>2</v>
      </c>
      <c r="D6" s="1"/>
      <c r="E6" s="1"/>
      <c r="F6" s="1"/>
    </row>
    <row r="7" spans="1:6">
      <c r="A7" s="1">
        <v>6.5</v>
      </c>
      <c r="B7" s="7" t="s">
        <v>44</v>
      </c>
      <c r="C7" s="21"/>
      <c r="D7" s="1"/>
      <c r="E7" s="1"/>
      <c r="F7" s="1"/>
    </row>
    <row r="8" spans="1:6">
      <c r="A8" s="1">
        <v>7</v>
      </c>
      <c r="B8" s="7" t="s">
        <v>45</v>
      </c>
      <c r="C8" s="1">
        <v>3</v>
      </c>
      <c r="D8" s="1"/>
      <c r="E8" s="1"/>
      <c r="F8" s="1"/>
    </row>
    <row r="9" spans="1:6">
      <c r="A9" s="1">
        <v>8</v>
      </c>
      <c r="B9" s="7" t="s">
        <v>46</v>
      </c>
      <c r="C9" s="1">
        <v>3.5</v>
      </c>
      <c r="D9" s="1"/>
      <c r="E9" s="1"/>
      <c r="F9" s="1"/>
    </row>
    <row r="10" spans="1:6">
      <c r="A10" s="1">
        <v>9</v>
      </c>
      <c r="B10" s="7" t="s">
        <v>47</v>
      </c>
      <c r="C10" s="1">
        <v>4</v>
      </c>
      <c r="D10" s="1"/>
      <c r="E10" s="1"/>
      <c r="F10" s="1"/>
    </row>
    <row r="12" spans="1:6" ht="25.5" customHeight="1">
      <c r="A12" s="38" t="s">
        <v>48</v>
      </c>
      <c r="B12" s="38"/>
      <c r="C12" s="38"/>
      <c r="D12" s="1"/>
      <c r="E12" s="38" t="s">
        <v>49</v>
      </c>
      <c r="F12" s="38"/>
    </row>
    <row r="13" spans="1:6" ht="32.25" customHeight="1">
      <c r="A13" s="16" t="s">
        <v>50</v>
      </c>
      <c r="B13" s="16" t="s">
        <v>51</v>
      </c>
      <c r="C13" s="16" t="s">
        <v>12</v>
      </c>
      <c r="D13" s="1"/>
      <c r="E13" s="16" t="s">
        <v>20</v>
      </c>
      <c r="F13" s="16" t="s">
        <v>52</v>
      </c>
    </row>
    <row r="14" spans="1:6">
      <c r="A14" s="13">
        <v>1</v>
      </c>
      <c r="B14" s="1" t="s">
        <v>53</v>
      </c>
      <c r="C14" s="1" t="s">
        <v>54</v>
      </c>
      <c r="D14" s="1"/>
      <c r="E14" s="1" t="s">
        <v>47</v>
      </c>
      <c r="F14" s="1">
        <f>COUNTIF('Tổng hợp điểm'!$K$7:$K$20, E14)</f>
        <v>0</v>
      </c>
    </row>
    <row r="15" spans="1:6">
      <c r="A15" s="13">
        <v>2</v>
      </c>
      <c r="B15" s="1" t="s">
        <v>55</v>
      </c>
      <c r="C15" s="1" t="s">
        <v>56</v>
      </c>
      <c r="D15" s="1"/>
      <c r="E15" s="1" t="s">
        <v>46</v>
      </c>
      <c r="F15" s="1">
        <f>COUNTIF('Tổng hợp điểm'!$K$7:$K$20, E15)</f>
        <v>0</v>
      </c>
    </row>
    <row r="16" spans="1:6">
      <c r="A16" s="13">
        <v>3</v>
      </c>
      <c r="B16" s="1" t="s">
        <v>57</v>
      </c>
      <c r="C16" s="1" t="s">
        <v>58</v>
      </c>
      <c r="D16" s="1"/>
      <c r="E16" s="1" t="s">
        <v>45</v>
      </c>
      <c r="F16" s="1">
        <f>COUNTIF('Tổng hợp điểm'!$K$7:$K$20, E16)</f>
        <v>2</v>
      </c>
    </row>
    <row r="17" spans="1:6">
      <c r="A17" s="13">
        <v>4</v>
      </c>
      <c r="B17" s="1" t="s">
        <v>59</v>
      </c>
      <c r="C17" s="1" t="s">
        <v>60</v>
      </c>
      <c r="D17" s="1"/>
      <c r="E17" s="1" t="s">
        <v>44</v>
      </c>
      <c r="F17" s="1">
        <f>COUNTIF('Tổng hợp điểm'!$K$7:$K$20, E17)</f>
        <v>1</v>
      </c>
    </row>
    <row r="18" spans="1:6">
      <c r="A18" s="13">
        <v>5</v>
      </c>
      <c r="B18" s="1" t="s">
        <v>61</v>
      </c>
      <c r="C18" s="1" t="s">
        <v>62</v>
      </c>
      <c r="D18" s="1"/>
      <c r="E18" s="1" t="s">
        <v>43</v>
      </c>
      <c r="F18" s="1">
        <f>COUNTIF('Tổng hợp điểm'!$K$7:$K$20, E18)</f>
        <v>4</v>
      </c>
    </row>
    <row r="19" spans="1:6">
      <c r="A19" s="13">
        <v>6</v>
      </c>
      <c r="B19" s="1" t="s">
        <v>63</v>
      </c>
      <c r="C19" s="1" t="s">
        <v>64</v>
      </c>
      <c r="D19" s="1"/>
      <c r="E19" s="1" t="s">
        <v>42</v>
      </c>
      <c r="F19" s="1">
        <f>COUNTIF('Tổng hợp điểm'!$K$7:$K$20, E19)</f>
        <v>1</v>
      </c>
    </row>
    <row r="20" spans="1:6">
      <c r="A20" s="13">
        <v>7</v>
      </c>
      <c r="B20" s="1" t="s">
        <v>65</v>
      </c>
      <c r="C20" s="1" t="s">
        <v>66</v>
      </c>
      <c r="D20" s="1"/>
      <c r="E20" s="1" t="s">
        <v>41</v>
      </c>
      <c r="F20" s="1">
        <f>COUNTIF('Tổng hợp điểm'!$K$7:$K$20, E20)</f>
        <v>3</v>
      </c>
    </row>
    <row r="21" spans="1:6">
      <c r="A21" s="13">
        <v>8</v>
      </c>
      <c r="B21" s="1" t="s">
        <v>67</v>
      </c>
      <c r="C21" s="1" t="s">
        <v>68</v>
      </c>
      <c r="D21" s="1"/>
      <c r="E21" s="1" t="s">
        <v>40</v>
      </c>
      <c r="F21" s="1">
        <f>COUNTIF('Tổng hợp điểm'!$K$7:$K$20, E21)</f>
        <v>3</v>
      </c>
    </row>
    <row r="22" spans="1:6">
      <c r="A22" s="13">
        <v>9</v>
      </c>
      <c r="B22" s="1" t="s">
        <v>69</v>
      </c>
      <c r="C22" s="1" t="s">
        <v>70</v>
      </c>
      <c r="D22" s="1"/>
      <c r="E22" s="1"/>
      <c r="F22" s="1"/>
    </row>
    <row r="23" spans="1:6">
      <c r="A23" s="13">
        <v>10</v>
      </c>
      <c r="B23" s="1" t="s">
        <v>71</v>
      </c>
      <c r="C23" s="1" t="s">
        <v>72</v>
      </c>
      <c r="D23" s="1"/>
      <c r="E23" s="39" t="s">
        <v>73</v>
      </c>
      <c r="F23" s="40"/>
    </row>
    <row r="24" spans="1:6">
      <c r="A24" s="13">
        <v>11</v>
      </c>
      <c r="B24" s="1" t="s">
        <v>74</v>
      </c>
      <c r="C24" s="1" t="s">
        <v>75</v>
      </c>
      <c r="D24" s="1"/>
      <c r="E24" s="34" t="s">
        <v>76</v>
      </c>
      <c r="F24" s="51">
        <f>COUNTIF('Tổng hợp điểm'!$G$7:$G$20, 0) + COUNTIF('Tổng hợp điểm'!$H$7:$H$20, -3)</f>
        <v>3</v>
      </c>
    </row>
    <row r="25" spans="1:6">
      <c r="A25" s="13">
        <v>12</v>
      </c>
      <c r="B25" s="1" t="s">
        <v>77</v>
      </c>
      <c r="C25" s="1" t="s">
        <v>78</v>
      </c>
      <c r="D25" s="1"/>
      <c r="E25" s="35"/>
      <c r="F25" s="52"/>
    </row>
    <row r="26" spans="1:6">
      <c r="A26" s="13">
        <v>13</v>
      </c>
      <c r="B26" s="1" t="s">
        <v>79</v>
      </c>
      <c r="C26" s="1" t="s">
        <v>80</v>
      </c>
      <c r="D26" s="1"/>
      <c r="E26" s="36"/>
      <c r="F26" s="53"/>
    </row>
    <row r="27" spans="1:6" ht="17.25">
      <c r="A27" s="13">
        <v>14</v>
      </c>
      <c r="B27" s="1" t="s">
        <v>81</v>
      </c>
      <c r="C27" s="1" t="s">
        <v>82</v>
      </c>
      <c r="D27" s="1"/>
      <c r="E27" s="10" t="s">
        <v>83</v>
      </c>
      <c r="F27" s="9" cm="1">
        <f t="array" ref="F27">SUMPRODUCT(--(VALUE(LEFT('Tổng hợp điểm'!$B$7:$B$20, 1)) &gt; 2))</f>
        <v>2</v>
      </c>
    </row>
  </sheetData>
  <mergeCells count="7">
    <mergeCell ref="E24:E26"/>
    <mergeCell ref="F24:F26"/>
    <mergeCell ref="A1:C1"/>
    <mergeCell ref="E1:F1"/>
    <mergeCell ref="A12:C12"/>
    <mergeCell ref="E12:F12"/>
    <mergeCell ref="E23:F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selection activeCell="G16" sqref="G16"/>
    </sheetView>
  </sheetViews>
  <sheetFormatPr defaultRowHeight="16.5"/>
  <sheetData>
    <row r="1" spans="1:7">
      <c r="A1" s="42" t="s">
        <v>84</v>
      </c>
      <c r="B1" s="43"/>
      <c r="C1" s="43"/>
      <c r="D1" s="43"/>
      <c r="E1" s="43"/>
      <c r="F1" s="43"/>
      <c r="G1" s="43"/>
    </row>
    <row r="2" spans="1:7">
      <c r="A2" s="18" t="s">
        <v>85</v>
      </c>
      <c r="B2" s="18" t="s">
        <v>86</v>
      </c>
      <c r="C2" s="44" t="s">
        <v>87</v>
      </c>
      <c r="D2" s="44"/>
      <c r="E2" s="18" t="s">
        <v>13</v>
      </c>
      <c r="F2" s="18" t="s">
        <v>14</v>
      </c>
      <c r="G2" s="18" t="s">
        <v>15</v>
      </c>
    </row>
    <row r="3" spans="1:7">
      <c r="A3" s="17">
        <v>1</v>
      </c>
      <c r="B3" s="11" t="s">
        <v>77</v>
      </c>
      <c r="C3" s="41" t="s">
        <v>78</v>
      </c>
      <c r="D3" s="41"/>
      <c r="E3" s="17">
        <v>0.45</v>
      </c>
      <c r="F3" s="17">
        <v>0.25</v>
      </c>
      <c r="G3" s="17">
        <v>0.3</v>
      </c>
    </row>
    <row r="4" spans="1:7">
      <c r="A4" s="17">
        <v>2</v>
      </c>
      <c r="B4" s="11" t="s">
        <v>63</v>
      </c>
      <c r="C4" s="41" t="s">
        <v>64</v>
      </c>
      <c r="D4" s="41"/>
      <c r="E4" s="17">
        <v>0.5</v>
      </c>
      <c r="F4" s="17">
        <v>0.35</v>
      </c>
      <c r="G4" s="17">
        <v>0.4</v>
      </c>
    </row>
    <row r="5" spans="1:7">
      <c r="A5" s="17">
        <v>3</v>
      </c>
      <c r="B5" s="11" t="s">
        <v>71</v>
      </c>
      <c r="C5" s="41" t="s">
        <v>72</v>
      </c>
      <c r="D5" s="41"/>
      <c r="E5" s="17">
        <v>0.25</v>
      </c>
      <c r="F5" s="17">
        <v>0.25</v>
      </c>
      <c r="G5" s="17">
        <v>0.3</v>
      </c>
    </row>
    <row r="6" spans="1:7">
      <c r="A6" s="17">
        <v>4</v>
      </c>
      <c r="B6" s="11" t="s">
        <v>53</v>
      </c>
      <c r="C6" s="41" t="s">
        <v>54</v>
      </c>
      <c r="D6" s="41"/>
      <c r="E6" s="17">
        <v>0.4</v>
      </c>
      <c r="F6" s="17">
        <v>0.25</v>
      </c>
      <c r="G6" s="17">
        <v>0.35</v>
      </c>
    </row>
    <row r="7" spans="1:7">
      <c r="A7" s="17">
        <v>5</v>
      </c>
      <c r="B7" s="11" t="s">
        <v>61</v>
      </c>
      <c r="C7" s="41">
        <f>VLOOKUP(RIGHT(B7, 8), 'Điểm thực hành các buổi'!$B$3:$E$16, 4, 0)</f>
        <v>0.45</v>
      </c>
      <c r="D7" s="41"/>
      <c r="E7" s="17">
        <v>0.45</v>
      </c>
      <c r="F7" s="17">
        <v>0.4</v>
      </c>
      <c r="G7" s="17">
        <v>0.35</v>
      </c>
    </row>
    <row r="8" spans="1:7">
      <c r="A8" s="17">
        <v>6</v>
      </c>
      <c r="B8" s="11" t="s">
        <v>79</v>
      </c>
      <c r="C8" s="41" t="s">
        <v>80</v>
      </c>
      <c r="D8" s="41"/>
      <c r="E8" s="17">
        <v>0.4</v>
      </c>
      <c r="F8" s="17">
        <v>0.45</v>
      </c>
      <c r="G8" s="17">
        <v>0.5</v>
      </c>
    </row>
    <row r="9" spans="1:7">
      <c r="A9" s="17">
        <v>7</v>
      </c>
      <c r="B9" s="11" t="s">
        <v>59</v>
      </c>
      <c r="C9" s="41" t="s">
        <v>88</v>
      </c>
      <c r="D9" s="41"/>
      <c r="E9" s="17">
        <v>0.4</v>
      </c>
      <c r="F9" s="17">
        <v>0.4</v>
      </c>
      <c r="G9" s="17">
        <v>0.4</v>
      </c>
    </row>
    <row r="10" spans="1:7">
      <c r="A10" s="17">
        <v>8</v>
      </c>
      <c r="B10" s="11" t="s">
        <v>55</v>
      </c>
      <c r="C10" s="41" t="s">
        <v>56</v>
      </c>
      <c r="D10" s="41"/>
      <c r="E10" s="17">
        <v>0.45</v>
      </c>
      <c r="F10" s="17">
        <v>0.4</v>
      </c>
      <c r="G10" s="17">
        <v>0.45</v>
      </c>
    </row>
    <row r="11" spans="1:7">
      <c r="A11" s="17">
        <v>9</v>
      </c>
      <c r="B11" s="11" t="s">
        <v>57</v>
      </c>
      <c r="C11" s="41" t="s">
        <v>89</v>
      </c>
      <c r="D11" s="41"/>
      <c r="E11" s="17">
        <v>0.45</v>
      </c>
      <c r="F11" s="17">
        <v>0.4</v>
      </c>
      <c r="G11" s="17">
        <v>0.4</v>
      </c>
    </row>
    <row r="12" spans="1:7">
      <c r="A12" s="17">
        <v>10</v>
      </c>
      <c r="B12" s="11" t="s">
        <v>74</v>
      </c>
      <c r="C12" s="41" t="s">
        <v>75</v>
      </c>
      <c r="D12" s="41"/>
      <c r="E12" s="17">
        <v>0.3</v>
      </c>
      <c r="F12" s="17">
        <v>0.5</v>
      </c>
      <c r="G12" s="17">
        <v>0.45</v>
      </c>
    </row>
    <row r="13" spans="1:7">
      <c r="A13" s="17">
        <v>11</v>
      </c>
      <c r="B13" s="11" t="s">
        <v>65</v>
      </c>
      <c r="C13" s="41" t="s">
        <v>66</v>
      </c>
      <c r="D13" s="41"/>
      <c r="E13" s="17">
        <v>0.4</v>
      </c>
      <c r="F13" s="17">
        <v>0.45</v>
      </c>
      <c r="G13" s="17">
        <v>0.4</v>
      </c>
    </row>
    <row r="14" spans="1:7">
      <c r="A14" s="17">
        <v>12</v>
      </c>
      <c r="B14" s="11" t="s">
        <v>69</v>
      </c>
      <c r="C14" s="41" t="s">
        <v>90</v>
      </c>
      <c r="D14" s="41"/>
      <c r="E14" s="17">
        <v>0.5</v>
      </c>
      <c r="F14" s="17">
        <v>0.5</v>
      </c>
      <c r="G14" s="17">
        <v>0.45</v>
      </c>
    </row>
    <row r="15" spans="1:7">
      <c r="A15" s="17">
        <v>13</v>
      </c>
      <c r="B15" s="11" t="s">
        <v>81</v>
      </c>
      <c r="C15" s="41" t="s">
        <v>82</v>
      </c>
      <c r="D15" s="41"/>
      <c r="E15" s="17">
        <v>0.4</v>
      </c>
      <c r="F15" s="17">
        <v>0.4</v>
      </c>
      <c r="G15" s="17">
        <v>0.35</v>
      </c>
    </row>
    <row r="16" spans="1:7">
      <c r="A16" s="17">
        <v>14</v>
      </c>
      <c r="B16" s="11" t="s">
        <v>67</v>
      </c>
      <c r="C16" s="41" t="s">
        <v>68</v>
      </c>
      <c r="D16" s="41"/>
      <c r="E16" s="17">
        <v>0.35</v>
      </c>
      <c r="F16" s="17">
        <v>0.4</v>
      </c>
      <c r="G16" s="17">
        <v>0</v>
      </c>
    </row>
  </sheetData>
  <mergeCells count="16"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C12:D12"/>
    <mergeCell ref="C6:D6"/>
    <mergeCell ref="A1:G1"/>
    <mergeCell ref="C2:D2"/>
    <mergeCell ref="C3:D3"/>
    <mergeCell ref="C4:D4"/>
    <mergeCell ref="C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selection activeCell="E17" sqref="E17"/>
    </sheetView>
  </sheetViews>
  <sheetFormatPr defaultRowHeight="16.5"/>
  <sheetData>
    <row r="1" spans="1:6">
      <c r="A1" s="45" t="s">
        <v>91</v>
      </c>
      <c r="B1" s="46"/>
      <c r="C1" s="46"/>
      <c r="D1" s="46"/>
      <c r="E1" s="46"/>
      <c r="F1" s="47"/>
    </row>
    <row r="2" spans="1:6">
      <c r="A2" s="19" t="s">
        <v>85</v>
      </c>
      <c r="B2" s="19" t="s">
        <v>51</v>
      </c>
      <c r="C2" s="48" t="s">
        <v>12</v>
      </c>
      <c r="D2" s="48"/>
      <c r="E2" s="48" t="s">
        <v>91</v>
      </c>
      <c r="F2" s="48"/>
    </row>
    <row r="3" spans="1:6">
      <c r="A3" s="13">
        <v>1</v>
      </c>
      <c r="B3" s="13" t="s">
        <v>77</v>
      </c>
      <c r="C3" s="32" t="s">
        <v>78</v>
      </c>
      <c r="D3" s="32"/>
      <c r="E3" s="32">
        <v>4.2</v>
      </c>
      <c r="F3" s="32"/>
    </row>
    <row r="4" spans="1:6">
      <c r="A4" s="13">
        <v>2</v>
      </c>
      <c r="B4" s="13" t="s">
        <v>63</v>
      </c>
      <c r="C4" s="32" t="s">
        <v>64</v>
      </c>
      <c r="D4" s="32"/>
      <c r="E4" s="32">
        <v>5.8</v>
      </c>
      <c r="F4" s="32"/>
    </row>
    <row r="5" spans="1:6">
      <c r="A5" s="13">
        <v>3</v>
      </c>
      <c r="B5" s="13" t="s">
        <v>71</v>
      </c>
      <c r="C5" s="32" t="s">
        <v>72</v>
      </c>
      <c r="D5" s="32"/>
      <c r="E5" s="32">
        <v>5.8</v>
      </c>
      <c r="F5" s="32"/>
    </row>
    <row r="6" spans="1:6">
      <c r="A6" s="13">
        <v>4</v>
      </c>
      <c r="B6" s="13" t="s">
        <v>53</v>
      </c>
      <c r="C6" s="32" t="s">
        <v>54</v>
      </c>
      <c r="D6" s="32"/>
      <c r="E6" s="32">
        <v>4.5</v>
      </c>
      <c r="F6" s="32"/>
    </row>
    <row r="7" spans="1:6">
      <c r="A7" s="13">
        <v>5</v>
      </c>
      <c r="B7" s="13" t="s">
        <v>61</v>
      </c>
      <c r="C7" s="32" t="s">
        <v>92</v>
      </c>
      <c r="D7" s="32"/>
      <c r="E7" s="32">
        <v>5.5</v>
      </c>
      <c r="F7" s="32"/>
    </row>
    <row r="8" spans="1:6">
      <c r="A8" s="13">
        <v>6</v>
      </c>
      <c r="B8" s="13" t="s">
        <v>79</v>
      </c>
      <c r="C8" s="32" t="s">
        <v>80</v>
      </c>
      <c r="D8" s="32"/>
      <c r="E8" s="32">
        <v>7.5</v>
      </c>
      <c r="F8" s="32"/>
    </row>
    <row r="9" spans="1:6">
      <c r="A9" s="13">
        <v>7</v>
      </c>
      <c r="B9" s="13" t="s">
        <v>59</v>
      </c>
      <c r="C9" s="32" t="s">
        <v>93</v>
      </c>
      <c r="D9" s="32"/>
      <c r="E9" s="32">
        <v>5.3</v>
      </c>
      <c r="F9" s="32"/>
    </row>
    <row r="10" spans="1:6">
      <c r="A10" s="13">
        <v>8</v>
      </c>
      <c r="B10" s="13" t="s">
        <v>55</v>
      </c>
      <c r="C10" s="32" t="s">
        <v>56</v>
      </c>
      <c r="D10" s="32"/>
      <c r="E10" s="32">
        <v>6.8</v>
      </c>
      <c r="F10" s="32"/>
    </row>
    <row r="11" spans="1:6">
      <c r="A11" s="13">
        <v>9</v>
      </c>
      <c r="B11" s="13" t="s">
        <v>57</v>
      </c>
      <c r="C11" s="32" t="s">
        <v>58</v>
      </c>
      <c r="D11" s="32"/>
      <c r="E11" s="32">
        <v>6.3</v>
      </c>
      <c r="F11" s="32"/>
    </row>
    <row r="12" spans="1:6">
      <c r="A12" s="13">
        <v>10</v>
      </c>
      <c r="B12" s="13" t="s">
        <v>74</v>
      </c>
      <c r="C12" s="32" t="s">
        <v>75</v>
      </c>
      <c r="D12" s="32"/>
      <c r="E12" s="32">
        <v>8.3000000000000007</v>
      </c>
      <c r="F12" s="32"/>
    </row>
    <row r="13" spans="1:6">
      <c r="A13" s="13">
        <v>11</v>
      </c>
      <c r="B13" s="13" t="s">
        <v>65</v>
      </c>
      <c r="C13" s="32" t="s">
        <v>66</v>
      </c>
      <c r="D13" s="32"/>
      <c r="E13" s="32">
        <v>-3</v>
      </c>
      <c r="F13" s="32"/>
    </row>
    <row r="14" spans="1:6">
      <c r="A14" s="13">
        <v>12</v>
      </c>
      <c r="B14" s="13" t="s">
        <v>69</v>
      </c>
      <c r="C14" s="32" t="s">
        <v>70</v>
      </c>
      <c r="D14" s="32"/>
      <c r="E14" s="32">
        <v>7</v>
      </c>
      <c r="F14" s="32"/>
    </row>
    <row r="15" spans="1:6">
      <c r="A15" s="13">
        <v>13</v>
      </c>
      <c r="B15" s="13" t="s">
        <v>81</v>
      </c>
      <c r="C15" s="32" t="s">
        <v>82</v>
      </c>
      <c r="D15" s="32"/>
      <c r="E15" s="32">
        <v>-3</v>
      </c>
      <c r="F15" s="32"/>
    </row>
    <row r="16" spans="1:6">
      <c r="A16" s="13">
        <v>14</v>
      </c>
      <c r="B16" s="13" t="s">
        <v>67</v>
      </c>
      <c r="C16" s="32" t="s">
        <v>94</v>
      </c>
      <c r="D16" s="32"/>
      <c r="E16" s="32">
        <v>6.5</v>
      </c>
      <c r="F16" s="32"/>
    </row>
  </sheetData>
  <mergeCells count="31">
    <mergeCell ref="C14:D14"/>
    <mergeCell ref="E14:F14"/>
    <mergeCell ref="C15:D15"/>
    <mergeCell ref="E15:F15"/>
    <mergeCell ref="C16:D16"/>
    <mergeCell ref="E16:F16"/>
    <mergeCell ref="C11:D11"/>
    <mergeCell ref="E11:F11"/>
    <mergeCell ref="C12:D12"/>
    <mergeCell ref="E12:F12"/>
    <mergeCell ref="C13:D13"/>
    <mergeCell ref="E13:F13"/>
    <mergeCell ref="C8:D8"/>
    <mergeCell ref="E8:F8"/>
    <mergeCell ref="C9:D9"/>
    <mergeCell ref="E9:F9"/>
    <mergeCell ref="C10:D10"/>
    <mergeCell ref="E10:F10"/>
    <mergeCell ref="C5:D5"/>
    <mergeCell ref="E5:F5"/>
    <mergeCell ref="C6:D6"/>
    <mergeCell ref="E6:F6"/>
    <mergeCell ref="C7:D7"/>
    <mergeCell ref="E7:F7"/>
    <mergeCell ref="C4:D4"/>
    <mergeCell ref="E4:F4"/>
    <mergeCell ref="A1:F1"/>
    <mergeCell ref="C2:D2"/>
    <mergeCell ref="E2:F2"/>
    <mergeCell ref="C3:D3"/>
    <mergeCell ref="E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>
      <selection activeCell="B3" sqref="B3"/>
    </sheetView>
  </sheetViews>
  <sheetFormatPr defaultRowHeight="16.5"/>
  <cols>
    <col min="1" max="1" width="6.5546875" customWidth="1"/>
    <col min="2" max="2" width="17.88671875" customWidth="1"/>
    <col min="3" max="3" width="26.88671875" customWidth="1"/>
    <col min="4" max="4" width="18" customWidth="1"/>
  </cols>
  <sheetData>
    <row r="1" spans="1:4">
      <c r="A1" s="49" t="s">
        <v>95</v>
      </c>
      <c r="B1" s="49"/>
      <c r="C1" s="49"/>
      <c r="D1" s="49"/>
    </row>
    <row r="2" spans="1:4">
      <c r="A2" s="20" t="s">
        <v>50</v>
      </c>
      <c r="B2" s="12" t="s">
        <v>51</v>
      </c>
      <c r="C2" s="12" t="s">
        <v>12</v>
      </c>
      <c r="D2" s="12" t="s">
        <v>96</v>
      </c>
    </row>
    <row r="3" spans="1:4">
      <c r="A3" s="14">
        <v>1</v>
      </c>
      <c r="B3" s="14" t="s">
        <v>77</v>
      </c>
      <c r="C3" s="14" t="s">
        <v>78</v>
      </c>
      <c r="D3" s="14">
        <v>0.5</v>
      </c>
    </row>
    <row r="4" spans="1:4">
      <c r="A4" s="14">
        <v>2</v>
      </c>
      <c r="B4" s="14" t="s">
        <v>63</v>
      </c>
      <c r="C4" s="9" t="s">
        <v>64</v>
      </c>
      <c r="D4" s="14">
        <v>1</v>
      </c>
    </row>
    <row r="5" spans="1:4">
      <c r="A5" s="14">
        <v>3</v>
      </c>
      <c r="B5" s="14" t="s">
        <v>71</v>
      </c>
      <c r="C5" s="9" t="s">
        <v>72</v>
      </c>
      <c r="D5" s="14">
        <v>0.5</v>
      </c>
    </row>
    <row r="6" spans="1:4">
      <c r="A6" s="14">
        <v>4</v>
      </c>
      <c r="B6" s="14" t="s">
        <v>53</v>
      </c>
      <c r="C6" s="9" t="s">
        <v>54</v>
      </c>
      <c r="D6" s="14">
        <v>1</v>
      </c>
    </row>
    <row r="7" spans="1:4">
      <c r="A7" s="14">
        <v>5</v>
      </c>
      <c r="B7" s="14" t="s">
        <v>61</v>
      </c>
      <c r="C7" s="9" t="s">
        <v>92</v>
      </c>
      <c r="D7" s="14">
        <v>1.75</v>
      </c>
    </row>
    <row r="8" spans="1:4">
      <c r="A8" s="14">
        <v>6</v>
      </c>
      <c r="B8" s="14" t="s">
        <v>79</v>
      </c>
      <c r="C8" s="9" t="s">
        <v>80</v>
      </c>
      <c r="D8" s="14">
        <v>1.2</v>
      </c>
    </row>
    <row r="9" spans="1:4">
      <c r="A9" s="14">
        <v>7</v>
      </c>
      <c r="B9" s="14" t="s">
        <v>59</v>
      </c>
      <c r="C9" s="9" t="s">
        <v>60</v>
      </c>
      <c r="D9" s="14">
        <v>1</v>
      </c>
    </row>
    <row r="10" spans="1:4">
      <c r="A10" s="14">
        <v>8</v>
      </c>
      <c r="B10" s="14" t="s">
        <v>55</v>
      </c>
      <c r="C10" s="9" t="s">
        <v>56</v>
      </c>
      <c r="D10" s="14">
        <v>0</v>
      </c>
    </row>
    <row r="11" spans="1:4">
      <c r="A11" s="14">
        <v>9</v>
      </c>
      <c r="B11" s="9" t="s">
        <v>57</v>
      </c>
      <c r="C11" s="9" t="s">
        <v>58</v>
      </c>
      <c r="D11" s="9">
        <v>0.75</v>
      </c>
    </row>
    <row r="12" spans="1:4">
      <c r="A12" s="14">
        <v>10</v>
      </c>
      <c r="B12" s="14" t="s">
        <v>74</v>
      </c>
      <c r="C12" s="9" t="s">
        <v>75</v>
      </c>
      <c r="D12" s="14">
        <v>0.3</v>
      </c>
    </row>
    <row r="13" spans="1:4">
      <c r="A13" s="14">
        <v>11</v>
      </c>
      <c r="B13" s="14" t="s">
        <v>65</v>
      </c>
      <c r="C13" s="9" t="s">
        <v>66</v>
      </c>
      <c r="D13" s="14">
        <v>0.3</v>
      </c>
    </row>
    <row r="14" spans="1:4">
      <c r="A14" s="14">
        <v>12</v>
      </c>
      <c r="B14" s="14" t="s">
        <v>69</v>
      </c>
      <c r="C14" s="9" t="s">
        <v>70</v>
      </c>
      <c r="D14" s="14">
        <v>1.5</v>
      </c>
    </row>
    <row r="15" spans="1:4">
      <c r="A15" s="14">
        <v>13</v>
      </c>
      <c r="B15" s="14" t="s">
        <v>81</v>
      </c>
      <c r="C15" s="9" t="s">
        <v>82</v>
      </c>
      <c r="D15" s="14">
        <v>1.35</v>
      </c>
    </row>
    <row r="16" spans="1:4">
      <c r="A16" s="14">
        <v>14</v>
      </c>
      <c r="B16" s="14" t="s">
        <v>67</v>
      </c>
      <c r="C16" s="9" t="s">
        <v>68</v>
      </c>
      <c r="D16" s="14">
        <v>0.85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5BABC-7E39-4345-91DE-7AF2DC19AD62}">
  <dimension ref="A1:J12"/>
  <sheetViews>
    <sheetView workbookViewId="0"/>
  </sheetViews>
  <sheetFormatPr defaultRowHeight="16.5"/>
  <cols>
    <col min="1" max="1" width="17.5546875" customWidth="1"/>
    <col min="2" max="2" width="26.88671875" customWidth="1"/>
  </cols>
  <sheetData>
    <row r="1" spans="1:10">
      <c r="A1" s="50" t="str" cm="1">
        <f t="array" ref="A1:J12">_xlfn._xlws.FILTER('Tổng hợp điểm'!B7:K20, 'Tổng hợp điểm'!J7:J20 &lt; 7)</f>
        <v>0B1505719</v>
      </c>
      <c r="B1" s="50" t="str">
        <v>Nguyễn Văn Hiếu</v>
      </c>
      <c r="C1" s="50">
        <v>0.45</v>
      </c>
      <c r="D1" s="50">
        <v>0.25</v>
      </c>
      <c r="E1" s="50">
        <v>0.3</v>
      </c>
      <c r="F1" s="50">
        <v>0.5</v>
      </c>
      <c r="G1" s="50">
        <v>4.2</v>
      </c>
      <c r="H1" s="50">
        <v>4</v>
      </c>
      <c r="I1" s="50">
        <v>4</v>
      </c>
      <c r="J1" s="50" t="str">
        <v>D</v>
      </c>
    </row>
    <row r="2" spans="1:10">
      <c r="A2" s="50" t="str">
        <v>1B1505915</v>
      </c>
      <c r="B2" s="50" t="str">
        <v>Lý Minh Trí</v>
      </c>
      <c r="C2" s="50">
        <v>0.5</v>
      </c>
      <c r="D2" s="50">
        <v>0.35</v>
      </c>
      <c r="E2" s="50">
        <v>0.4</v>
      </c>
      <c r="F2" s="50">
        <v>1</v>
      </c>
      <c r="G2" s="50">
        <v>5.8</v>
      </c>
      <c r="H2" s="50">
        <v>5.7</v>
      </c>
      <c r="I2" s="50">
        <v>5.7</v>
      </c>
      <c r="J2" s="50" t="str">
        <v>C</v>
      </c>
    </row>
    <row r="3" spans="1:10">
      <c r="A3" s="50" t="str">
        <v>0B1509874</v>
      </c>
      <c r="B3" s="50" t="str">
        <v>Nguyễn Kiều Mi</v>
      </c>
      <c r="C3" s="50">
        <v>0.25</v>
      </c>
      <c r="D3" s="50">
        <v>0.25</v>
      </c>
      <c r="E3" s="50">
        <v>0.3</v>
      </c>
      <c r="F3" s="50">
        <v>0.5</v>
      </c>
      <c r="G3" s="50">
        <v>5.8</v>
      </c>
      <c r="H3" s="50">
        <v>4.8</v>
      </c>
      <c r="I3" s="50">
        <v>4.8</v>
      </c>
      <c r="J3" s="50" t="str">
        <v>D</v>
      </c>
    </row>
    <row r="4" spans="1:10">
      <c r="A4" s="50" t="str">
        <v>0B1509929</v>
      </c>
      <c r="B4" s="50" t="str">
        <v>Đặng Duy Linh</v>
      </c>
      <c r="C4" s="50">
        <v>0.4</v>
      </c>
      <c r="D4" s="50">
        <v>0.25</v>
      </c>
      <c r="E4" s="50">
        <v>0.35</v>
      </c>
      <c r="F4" s="50">
        <v>1</v>
      </c>
      <c r="G4" s="50">
        <v>4.5</v>
      </c>
      <c r="H4" s="50">
        <v>4.7</v>
      </c>
      <c r="I4" s="50">
        <v>4.7</v>
      </c>
      <c r="J4" s="50" t="str">
        <v>D</v>
      </c>
    </row>
    <row r="5" spans="1:10">
      <c r="A5" s="50" t="str">
        <v>2B1605223</v>
      </c>
      <c r="B5" s="50" t="str">
        <v>Le Thị Trúc Linh</v>
      </c>
      <c r="C5" s="50">
        <v>0.45</v>
      </c>
      <c r="D5" s="50">
        <v>0.4</v>
      </c>
      <c r="E5" s="50">
        <v>0.35</v>
      </c>
      <c r="F5" s="50">
        <v>1.75</v>
      </c>
      <c r="G5" s="50">
        <v>5.5</v>
      </c>
      <c r="H5" s="50">
        <v>6.3</v>
      </c>
      <c r="I5" s="50">
        <v>6.3</v>
      </c>
      <c r="J5" s="50" t="str">
        <v>C</v>
      </c>
    </row>
    <row r="6" spans="1:10">
      <c r="A6" s="50" t="str">
        <v>0B1605249</v>
      </c>
      <c r="B6" s="50" t="str">
        <v>Lê Minh Thông</v>
      </c>
      <c r="C6" s="50">
        <v>0.4</v>
      </c>
      <c r="D6" s="50">
        <v>0.4</v>
      </c>
      <c r="E6" s="50">
        <v>0.4</v>
      </c>
      <c r="F6" s="50">
        <v>1</v>
      </c>
      <c r="G6" s="50">
        <v>5.3</v>
      </c>
      <c r="H6" s="50">
        <v>5.4</v>
      </c>
      <c r="I6" s="50">
        <v>5.4</v>
      </c>
      <c r="J6" s="50" t="str">
        <v>D+</v>
      </c>
    </row>
    <row r="7" spans="1:10">
      <c r="A7" s="50" t="str">
        <v>0B1605285</v>
      </c>
      <c r="B7" s="50" t="str">
        <v>Huỳnh Thị Diễm</v>
      </c>
      <c r="C7" s="50">
        <v>0.45</v>
      </c>
      <c r="D7" s="50">
        <v>0.4</v>
      </c>
      <c r="E7" s="50">
        <v>0.45</v>
      </c>
      <c r="F7" s="50">
        <v>0</v>
      </c>
      <c r="G7" s="50">
        <v>6.8</v>
      </c>
      <c r="H7" s="50">
        <v>5.4</v>
      </c>
      <c r="I7" s="50">
        <v>0</v>
      </c>
      <c r="J7" s="50" t="str">
        <v>F</v>
      </c>
    </row>
    <row r="8" spans="1:10">
      <c r="A8" s="50" t="str">
        <v>0B1605291</v>
      </c>
      <c r="B8" s="50" t="str">
        <v>Trần Thanh Nguyên</v>
      </c>
      <c r="C8" s="50">
        <v>0.45</v>
      </c>
      <c r="D8" s="50">
        <v>0.4</v>
      </c>
      <c r="E8" s="50">
        <v>0.4</v>
      </c>
      <c r="F8" s="50">
        <v>0.75</v>
      </c>
      <c r="G8" s="50">
        <v>6.3</v>
      </c>
      <c r="H8" s="50">
        <v>5.8</v>
      </c>
      <c r="I8" s="50">
        <v>5.8</v>
      </c>
      <c r="J8" s="50" t="str">
        <v>C</v>
      </c>
    </row>
    <row r="9" spans="1:10">
      <c r="A9" s="50" t="str">
        <v>1B1605344</v>
      </c>
      <c r="B9" s="50" t="str">
        <v>Nguyễn Thị Đào</v>
      </c>
      <c r="C9" s="50">
        <v>0.3</v>
      </c>
      <c r="D9" s="50">
        <v>0.5</v>
      </c>
      <c r="E9" s="50">
        <v>0.45</v>
      </c>
      <c r="F9" s="50">
        <v>0.3</v>
      </c>
      <c r="G9" s="50">
        <v>8.3000000000000007</v>
      </c>
      <c r="H9" s="50">
        <v>6.5</v>
      </c>
      <c r="I9" s="50">
        <v>6.5</v>
      </c>
      <c r="J9" s="50" t="str">
        <v>C+</v>
      </c>
    </row>
    <row r="10" spans="1:10">
      <c r="A10" s="50" t="str">
        <v>4B1607025</v>
      </c>
      <c r="B10" s="50" t="str">
        <v>Nguyễn Chí Thanh</v>
      </c>
      <c r="C10" s="50">
        <v>0.4</v>
      </c>
      <c r="D10" s="50">
        <v>0.45</v>
      </c>
      <c r="E10" s="50">
        <v>0.4</v>
      </c>
      <c r="F10" s="50">
        <v>0.3</v>
      </c>
      <c r="G10" s="50">
        <v>-3</v>
      </c>
      <c r="H10" s="50">
        <v>0</v>
      </c>
      <c r="I10" s="50">
        <v>0</v>
      </c>
      <c r="J10" s="50" t="str">
        <v>F</v>
      </c>
    </row>
    <row r="11" spans="1:10">
      <c r="A11" s="50" t="str">
        <v>5B1609765</v>
      </c>
      <c r="B11" s="50" t="str">
        <v>Trần Nam Dương</v>
      </c>
      <c r="C11" s="50">
        <v>0.4</v>
      </c>
      <c r="D11" s="50">
        <v>0.4</v>
      </c>
      <c r="E11" s="50">
        <v>0.35</v>
      </c>
      <c r="F11" s="50">
        <v>1.35</v>
      </c>
      <c r="G11" s="50">
        <v>-3</v>
      </c>
      <c r="H11" s="50">
        <v>0</v>
      </c>
      <c r="I11" s="50">
        <v>0</v>
      </c>
      <c r="J11" s="50" t="str">
        <v>F</v>
      </c>
    </row>
    <row r="12" spans="1:10">
      <c r="A12" s="50" t="str">
        <v>0B1609773</v>
      </c>
      <c r="B12" s="50" t="str">
        <v>Nguyễn Duy Khanh</v>
      </c>
      <c r="C12" s="50">
        <v>0.35</v>
      </c>
      <c r="D12" s="50">
        <v>0.4</v>
      </c>
      <c r="E12" s="50">
        <v>0</v>
      </c>
      <c r="F12" s="50">
        <v>0.85</v>
      </c>
      <c r="G12" s="50">
        <v>6.5</v>
      </c>
      <c r="H12" s="50">
        <v>5.5</v>
      </c>
      <c r="I12" s="50">
        <v>5.5</v>
      </c>
      <c r="J12" s="50" t="str">
        <v>C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76CF8-33BF-4F05-9017-7430C83D8FFE}">
  <dimension ref="A1:J2"/>
  <sheetViews>
    <sheetView workbookViewId="0">
      <selection activeCell="J2" sqref="J2"/>
    </sheetView>
  </sheetViews>
  <sheetFormatPr defaultRowHeight="16.5"/>
  <cols>
    <col min="1" max="1" width="18" customWidth="1"/>
  </cols>
  <sheetData>
    <row r="1" spans="1:10">
      <c r="A1" t="str" cm="1">
        <f t="array" ref="A1:J2">_xlfn._xlws.FILTER('Tổng hợp điểm'!B7:K20, 'Tổng hợp điểm'!J7:J20 &gt;= 7)</f>
        <v>0B1605235</v>
      </c>
      <c r="B1" t="str">
        <v>Phạm Thị Huỳnh</v>
      </c>
      <c r="C1">
        <v>0.4</v>
      </c>
      <c r="D1">
        <v>0.45</v>
      </c>
      <c r="E1">
        <v>0.5</v>
      </c>
      <c r="F1">
        <v>1.2</v>
      </c>
      <c r="G1">
        <v>7.5</v>
      </c>
      <c r="H1">
        <v>7.1</v>
      </c>
      <c r="I1">
        <v>7.1</v>
      </c>
      <c r="J1" t="str">
        <v>B</v>
      </c>
    </row>
    <row r="2" spans="1:10">
      <c r="A2" t="str">
        <v>2B1609759</v>
      </c>
      <c r="B2" t="str">
        <v>Nguyễn Hải Anh</v>
      </c>
      <c r="C2">
        <v>0.5</v>
      </c>
      <c r="D2">
        <v>0.5</v>
      </c>
      <c r="E2">
        <v>0.45</v>
      </c>
      <c r="F2">
        <v>1.5</v>
      </c>
      <c r="G2">
        <v>7</v>
      </c>
      <c r="H2">
        <v>7.2</v>
      </c>
      <c r="I2">
        <v>7.2</v>
      </c>
      <c r="J2" t="str">
        <v>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/>
  <cp:revision/>
  <dcterms:created xsi:type="dcterms:W3CDTF">2026-02-03T22:45:01Z</dcterms:created>
  <dcterms:modified xsi:type="dcterms:W3CDTF">2026-02-04T06:24:37Z</dcterms:modified>
  <cp:category/>
  <cp:contentStatus/>
</cp:coreProperties>
</file>